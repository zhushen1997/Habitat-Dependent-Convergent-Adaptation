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2317F77F-B017-41CD-8713-95CC8903155B}" xr6:coauthVersionLast="47" xr6:coauthVersionMax="47" xr10:uidLastSave="{00000000-0000-0000-0000-000000000000}"/>
  <bookViews>
    <workbookView xWindow="-108" yWindow="408" windowWidth="46296" windowHeight="249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C12" i="1"/>
  <c r="D12" i="1"/>
  <c r="E12" i="1"/>
  <c r="F12" i="1"/>
  <c r="G12" i="1"/>
  <c r="H12" i="1"/>
  <c r="I12" i="1"/>
  <c r="D10" i="1"/>
  <c r="E10" i="1"/>
  <c r="F10" i="1"/>
  <c r="G10" i="1"/>
  <c r="H10" i="1"/>
  <c r="I10" i="1"/>
  <c r="C10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E46" i="1"/>
  <c r="F46" i="1"/>
  <c r="G46" i="1"/>
  <c r="H46" i="1"/>
  <c r="I46" i="1"/>
  <c r="C45" i="1"/>
  <c r="C46" i="1"/>
  <c r="C44" i="1"/>
</calcChain>
</file>

<file path=xl/sharedStrings.xml><?xml version="1.0" encoding="utf-8"?>
<sst xmlns="http://schemas.openxmlformats.org/spreadsheetml/2006/main" count="29" uniqueCount="15">
  <si>
    <t>Temperature(¡C)</t>
  </si>
  <si>
    <t>BCAA concentrate</t>
    <phoneticPr fontId="1" type="noConversion"/>
  </si>
  <si>
    <t>OD450_1</t>
    <phoneticPr fontId="1" type="noConversion"/>
  </si>
  <si>
    <t>OD450_2</t>
  </si>
  <si>
    <t>OD450_3</t>
  </si>
  <si>
    <t>group</t>
  </si>
  <si>
    <t>OD450</t>
  </si>
  <si>
    <t>ABX50</t>
  </si>
  <si>
    <t>CR</t>
  </si>
  <si>
    <t>LY294002</t>
  </si>
  <si>
    <t>Rapamycin</t>
  </si>
  <si>
    <t>BCAA_concentrate</t>
    <phoneticPr fontId="1" type="noConversion"/>
  </si>
  <si>
    <t>ABX20+FMT</t>
    <phoneticPr fontId="1" type="noConversion"/>
  </si>
  <si>
    <t>ABX20</t>
    <phoneticPr fontId="1" type="noConversion"/>
  </si>
  <si>
    <t>ABX50+BCAAs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</si>
</sst>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593547681539807"/>
                  <c:y val="-3.65288713910761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Sheet1!$C$21:$C$26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</c:numCache>
            </c:numRef>
          </c:xVal>
          <c:yVal>
            <c:numRef>
              <c:f>Sheet1!$D$21:$D$26</c:f>
              <c:numCache>
                <c:formatCode>General</c:formatCode>
                <c:ptCount val="6"/>
                <c:pt idx="0">
                  <c:v>0.36233333333333334</c:v>
                </c:pt>
                <c:pt idx="1">
                  <c:v>0.52066666666666672</c:v>
                </c:pt>
                <c:pt idx="2">
                  <c:v>0.67866666666666664</c:v>
                </c:pt>
                <c:pt idx="3">
                  <c:v>1.1213333333333333</c:v>
                </c:pt>
                <c:pt idx="4">
                  <c:v>1.8473333333333333</c:v>
                </c:pt>
                <c:pt idx="5">
                  <c:v>3.325333333333333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62-45A2-AFBB-8CA6E7BE4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54368"/>
        <c:axId val="129749792"/>
      </c:scatterChart>
      <c:valAx>
        <c:axId val="12975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749792"/>
        <c:crosses val="autoZero"/>
        <c:crossBetween val="midCat"/>
      </c:valAx>
      <c:valAx>
        <c:axId val="1297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75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20</xdr:row>
      <xdr:rowOff>45720</xdr:rowOff>
    </xdr:from>
    <xdr:to>
      <xdr:col>14</xdr:col>
      <xdr:colOff>350520</xdr:colOff>
      <xdr:row>35</xdr:row>
      <xdr:rowOff>45720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9F58DD9C-6097-4D2D-BE88-A37244DBF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6"/>
  <sheetViews>
    <sheetView zoomScale="160" zoomScaleNormal="160" workbookViewId="0">
      <selection activeCell="F18" sqref="F18"/>
    </sheetView>
  </sheetViews>
  <sheetFormatPr defaultRowHeight="14.4" x14ac:dyDescent="0.25"/>
  <cols>
    <col min="3" max="3" width="21.21875" customWidth="1"/>
  </cols>
  <sheetData>
    <row r="1" spans="2:9" x14ac:dyDescent="0.25">
      <c r="B1" t="s">
        <v>0</v>
      </c>
      <c r="C1">
        <v>0</v>
      </c>
      <c r="D1">
        <v>100</v>
      </c>
      <c r="E1">
        <v>200</v>
      </c>
      <c r="F1">
        <v>500</v>
      </c>
      <c r="G1">
        <v>1000</v>
      </c>
      <c r="H1">
        <v>2000</v>
      </c>
    </row>
    <row r="2" spans="2:9" x14ac:dyDescent="0.25">
      <c r="B2">
        <v>19.3</v>
      </c>
      <c r="C2">
        <v>0.35899999999999999</v>
      </c>
      <c r="D2">
        <v>0.51900000000000002</v>
      </c>
      <c r="E2">
        <v>0.67600000000000005</v>
      </c>
      <c r="F2">
        <v>1.123</v>
      </c>
      <c r="G2">
        <v>1.841</v>
      </c>
      <c r="H2">
        <v>3.3660000000000001</v>
      </c>
    </row>
    <row r="3" spans="2:9" x14ac:dyDescent="0.25">
      <c r="C3">
        <v>0.36299999999999999</v>
      </c>
      <c r="D3">
        <v>0.52300000000000002</v>
      </c>
      <c r="E3">
        <v>0.68200000000000005</v>
      </c>
      <c r="F3">
        <v>1.1160000000000001</v>
      </c>
      <c r="G3">
        <v>1.8520000000000001</v>
      </c>
      <c r="H3">
        <v>3.3119999999999998</v>
      </c>
    </row>
    <row r="4" spans="2:9" x14ac:dyDescent="0.25">
      <c r="C4">
        <v>0.36499999999999999</v>
      </c>
      <c r="D4">
        <v>0.52</v>
      </c>
      <c r="E4">
        <v>0.67800000000000005</v>
      </c>
      <c r="F4">
        <v>1.125</v>
      </c>
      <c r="G4">
        <v>1.849</v>
      </c>
      <c r="H4">
        <v>3.298</v>
      </c>
    </row>
    <row r="5" spans="2:9" x14ac:dyDescent="0.25">
      <c r="C5">
        <v>0.61929999999999996</v>
      </c>
      <c r="D5">
        <v>0.63339999999999996</v>
      </c>
      <c r="E5">
        <v>2.9679000000000002</v>
      </c>
      <c r="F5">
        <v>3.0034000000000001</v>
      </c>
      <c r="G5">
        <v>3.0329000000000002</v>
      </c>
      <c r="H5">
        <v>2.9887000000000001</v>
      </c>
      <c r="I5">
        <v>3.077</v>
      </c>
    </row>
    <row r="6" spans="2:9" x14ac:dyDescent="0.25">
      <c r="C6">
        <v>0.62670000000000003</v>
      </c>
      <c r="D6">
        <v>0.62539999999999996</v>
      </c>
      <c r="E6">
        <v>2.9264000000000001</v>
      </c>
      <c r="F6">
        <v>3.0015000000000001</v>
      </c>
      <c r="G6">
        <v>3.0024999999999999</v>
      </c>
      <c r="H6">
        <v>2.9870000000000001</v>
      </c>
      <c r="I6">
        <v>3.0139</v>
      </c>
    </row>
    <row r="7" spans="2:9" x14ac:dyDescent="0.25">
      <c r="C7">
        <v>0.63</v>
      </c>
      <c r="D7">
        <v>0.62380000000000002</v>
      </c>
      <c r="E7">
        <v>2.9396</v>
      </c>
      <c r="F7">
        <v>2.9569000000000001</v>
      </c>
      <c r="G7">
        <v>3.0251000000000001</v>
      </c>
      <c r="H7">
        <v>2.9986000000000002</v>
      </c>
      <c r="I7">
        <v>2.9420000000000002</v>
      </c>
    </row>
    <row r="10" spans="2:9" x14ac:dyDescent="0.25">
      <c r="C10">
        <f t="shared" ref="C10:I12" si="0">(C5-0.3743)/0.0015</f>
        <v>163.33333333333329</v>
      </c>
      <c r="D10">
        <f t="shared" si="0"/>
        <v>172.73333333333329</v>
      </c>
      <c r="E10">
        <f t="shared" si="0"/>
        <v>1729.0666666666668</v>
      </c>
      <c r="F10">
        <f t="shared" si="0"/>
        <v>1752.7333333333333</v>
      </c>
      <c r="G10">
        <f t="shared" si="0"/>
        <v>1772.4</v>
      </c>
      <c r="H10">
        <f t="shared" si="0"/>
        <v>1742.9333333333334</v>
      </c>
      <c r="I10">
        <f t="shared" si="0"/>
        <v>1801.8</v>
      </c>
    </row>
    <row r="11" spans="2:9" x14ac:dyDescent="0.25">
      <c r="C11">
        <f t="shared" si="0"/>
        <v>168.26666666666668</v>
      </c>
      <c r="D11">
        <f t="shared" si="0"/>
        <v>167.39999999999995</v>
      </c>
      <c r="E11">
        <f t="shared" si="0"/>
        <v>1701.4</v>
      </c>
      <c r="F11">
        <f t="shared" si="0"/>
        <v>1751.4666666666667</v>
      </c>
      <c r="G11">
        <f t="shared" si="0"/>
        <v>1752.1333333333334</v>
      </c>
      <c r="H11">
        <f t="shared" si="0"/>
        <v>1741.8000000000002</v>
      </c>
      <c r="I11">
        <f t="shared" si="0"/>
        <v>1759.7333333333333</v>
      </c>
    </row>
    <row r="12" spans="2:9" x14ac:dyDescent="0.25">
      <c r="C12">
        <f t="shared" si="0"/>
        <v>170.46666666666664</v>
      </c>
      <c r="D12">
        <f t="shared" si="0"/>
        <v>166.33333333333334</v>
      </c>
      <c r="E12">
        <f t="shared" si="0"/>
        <v>1710.2</v>
      </c>
      <c r="F12">
        <f t="shared" si="0"/>
        <v>1721.7333333333333</v>
      </c>
      <c r="G12">
        <f t="shared" si="0"/>
        <v>1767.2</v>
      </c>
      <c r="H12">
        <f t="shared" si="0"/>
        <v>1749.5333333333335</v>
      </c>
      <c r="I12">
        <f t="shared" si="0"/>
        <v>1711.8000000000002</v>
      </c>
    </row>
    <row r="21" spans="3:4" x14ac:dyDescent="0.25">
      <c r="C21">
        <v>0</v>
      </c>
      <c r="D21">
        <v>0.36233333333333334</v>
      </c>
    </row>
    <row r="22" spans="3:4" x14ac:dyDescent="0.25">
      <c r="C22">
        <v>100</v>
      </c>
      <c r="D22">
        <v>0.52066666666666672</v>
      </c>
    </row>
    <row r="23" spans="3:4" x14ac:dyDescent="0.25">
      <c r="C23">
        <v>200</v>
      </c>
      <c r="D23">
        <v>0.67866666666666664</v>
      </c>
    </row>
    <row r="24" spans="3:4" x14ac:dyDescent="0.25">
      <c r="C24">
        <v>500</v>
      </c>
      <c r="D24">
        <v>1.1213333333333333</v>
      </c>
    </row>
    <row r="25" spans="3:4" x14ac:dyDescent="0.25">
      <c r="C25">
        <v>1000</v>
      </c>
      <c r="D25">
        <v>1.8473333333333333</v>
      </c>
    </row>
    <row r="26" spans="3:4" x14ac:dyDescent="0.25">
      <c r="C26">
        <v>2000</v>
      </c>
      <c r="D26">
        <v>3.325333333333333</v>
      </c>
    </row>
    <row r="44" spans="3:9" x14ac:dyDescent="0.25">
      <c r="C44">
        <f>(C40-0.3744)/0.0015</f>
        <v>-249.6</v>
      </c>
      <c r="D44">
        <f t="shared" ref="D44:I44" si="1">(D40-0.3744)/0.0015</f>
        <v>-249.6</v>
      </c>
      <c r="E44">
        <f t="shared" si="1"/>
        <v>-249.6</v>
      </c>
      <c r="F44">
        <f t="shared" si="1"/>
        <v>-249.6</v>
      </c>
      <c r="G44">
        <f t="shared" si="1"/>
        <v>-249.6</v>
      </c>
      <c r="H44">
        <f t="shared" si="1"/>
        <v>-249.6</v>
      </c>
      <c r="I44">
        <f t="shared" si="1"/>
        <v>-249.6</v>
      </c>
    </row>
    <row r="45" spans="3:9" x14ac:dyDescent="0.25">
      <c r="C45">
        <f t="shared" ref="C45:I46" si="2">(C41-0.3744)/0.0015</f>
        <v>-249.6</v>
      </c>
      <c r="D45">
        <f t="shared" si="2"/>
        <v>-249.6</v>
      </c>
      <c r="E45">
        <f t="shared" si="2"/>
        <v>-249.6</v>
      </c>
      <c r="F45">
        <f t="shared" si="2"/>
        <v>-249.6</v>
      </c>
      <c r="G45">
        <f t="shared" si="2"/>
        <v>-249.6</v>
      </c>
      <c r="H45">
        <f t="shared" si="2"/>
        <v>-249.6</v>
      </c>
      <c r="I45">
        <f t="shared" si="2"/>
        <v>-249.6</v>
      </c>
    </row>
    <row r="46" spans="3:9" x14ac:dyDescent="0.25">
      <c r="C46">
        <f t="shared" si="2"/>
        <v>-249.6</v>
      </c>
      <c r="D46">
        <f t="shared" si="2"/>
        <v>-249.6</v>
      </c>
      <c r="E46">
        <f t="shared" si="2"/>
        <v>-249.6</v>
      </c>
      <c r="F46">
        <f t="shared" si="2"/>
        <v>-249.6</v>
      </c>
      <c r="G46">
        <f t="shared" si="2"/>
        <v>-249.6</v>
      </c>
      <c r="H46">
        <f t="shared" si="2"/>
        <v>-249.6</v>
      </c>
      <c r="I46">
        <f t="shared" si="2"/>
        <v>-249.6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250" zoomScaleNormal="250" workbookViewId="0">
      <selection activeCell="G2" sqref="G2"/>
    </sheetView>
  </sheetViews>
  <sheetFormatPr defaultRowHeight="14.4" x14ac:dyDescent="0.25"/>
  <cols>
    <col min="1" max="1" width="19.7773437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0</v>
      </c>
      <c r="B2">
        <v>0.35899999999999999</v>
      </c>
      <c r="C2">
        <v>0.36299999999999999</v>
      </c>
      <c r="D2">
        <v>0.36499999999999999</v>
      </c>
    </row>
    <row r="3" spans="1:4" x14ac:dyDescent="0.25">
      <c r="A3">
        <v>100</v>
      </c>
      <c r="B3">
        <v>0.51900000000000002</v>
      </c>
      <c r="C3">
        <v>0.52300000000000002</v>
      </c>
      <c r="D3">
        <v>0.52</v>
      </c>
    </row>
    <row r="4" spans="1:4" x14ac:dyDescent="0.25">
      <c r="A4">
        <v>200</v>
      </c>
      <c r="B4">
        <v>0.67600000000000005</v>
      </c>
      <c r="C4">
        <v>0.68200000000000005</v>
      </c>
      <c r="D4">
        <v>0.67800000000000005</v>
      </c>
    </row>
    <row r="5" spans="1:4" x14ac:dyDescent="0.25">
      <c r="A5">
        <v>500</v>
      </c>
      <c r="B5">
        <v>1.123</v>
      </c>
      <c r="C5">
        <v>1.1160000000000001</v>
      </c>
      <c r="D5">
        <v>1.125</v>
      </c>
    </row>
    <row r="6" spans="1:4" x14ac:dyDescent="0.25">
      <c r="A6">
        <v>1000</v>
      </c>
      <c r="B6">
        <v>1.841</v>
      </c>
      <c r="C6">
        <v>1.8520000000000001</v>
      </c>
      <c r="D6">
        <v>1.849</v>
      </c>
    </row>
    <row r="7" spans="1:4" x14ac:dyDescent="0.25">
      <c r="A7">
        <v>2000</v>
      </c>
      <c r="B7">
        <v>3.3660000000000001</v>
      </c>
      <c r="C7">
        <v>3.3119999999999998</v>
      </c>
      <c r="D7">
        <v>3.298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zoomScale="205" zoomScaleNormal="205" workbookViewId="0">
      <selection activeCell="B17" sqref="B17"/>
    </sheetView>
  </sheetViews>
  <sheetFormatPr defaultRowHeight="14.4" x14ac:dyDescent="0.25"/>
  <cols>
    <col min="1" max="1" width="18.44140625" customWidth="1"/>
    <col min="2" max="2" width="22.33203125" customWidth="1"/>
    <col min="3" max="3" width="25.88671875" customWidth="1"/>
  </cols>
  <sheetData>
    <row r="1" spans="1:3" x14ac:dyDescent="0.25">
      <c r="A1" t="s">
        <v>5</v>
      </c>
      <c r="B1" t="s">
        <v>6</v>
      </c>
      <c r="C1" t="s">
        <v>11</v>
      </c>
    </row>
    <row r="2" spans="1:3" x14ac:dyDescent="0.25">
      <c r="A2" t="s">
        <v>12</v>
      </c>
      <c r="B2">
        <v>2.9679000000000002</v>
      </c>
      <c r="C2">
        <v>1757.181572</v>
      </c>
    </row>
    <row r="3" spans="1:3" x14ac:dyDescent="0.25">
      <c r="A3" t="s">
        <v>12</v>
      </c>
      <c r="B3">
        <v>2.9264000000000001</v>
      </c>
      <c r="C3">
        <v>1729.0650410000001</v>
      </c>
    </row>
    <row r="4" spans="1:3" x14ac:dyDescent="0.25">
      <c r="A4" t="s">
        <v>12</v>
      </c>
      <c r="B4">
        <v>2.9396</v>
      </c>
      <c r="C4">
        <v>1738.0081299999999</v>
      </c>
    </row>
    <row r="5" spans="1:3" x14ac:dyDescent="0.25">
      <c r="A5" t="s">
        <v>13</v>
      </c>
      <c r="B5">
        <v>0.63339999999999996</v>
      </c>
      <c r="C5">
        <v>175.54200539999999</v>
      </c>
    </row>
    <row r="6" spans="1:3" x14ac:dyDescent="0.25">
      <c r="A6" t="s">
        <v>13</v>
      </c>
      <c r="B6">
        <v>0.62539999999999996</v>
      </c>
      <c r="C6">
        <v>170.12195120000001</v>
      </c>
    </row>
    <row r="7" spans="1:3" x14ac:dyDescent="0.25">
      <c r="A7" t="s">
        <v>13</v>
      </c>
      <c r="B7">
        <v>0.62380000000000002</v>
      </c>
      <c r="C7">
        <v>169.0379404</v>
      </c>
    </row>
    <row r="8" spans="1:3" x14ac:dyDescent="0.25">
      <c r="A8" t="s">
        <v>7</v>
      </c>
      <c r="B8">
        <v>0.61929999999999996</v>
      </c>
      <c r="C8">
        <v>165.9891599</v>
      </c>
    </row>
    <row r="9" spans="1:3" x14ac:dyDescent="0.25">
      <c r="A9" t="s">
        <v>7</v>
      </c>
      <c r="B9">
        <v>0.62670000000000003</v>
      </c>
      <c r="C9">
        <v>171.00271000000001</v>
      </c>
    </row>
    <row r="10" spans="1:3" x14ac:dyDescent="0.25">
      <c r="A10" t="s">
        <v>7</v>
      </c>
      <c r="B10">
        <v>0.63</v>
      </c>
      <c r="C10">
        <v>173.23848240000001</v>
      </c>
    </row>
    <row r="11" spans="1:3" x14ac:dyDescent="0.25">
      <c r="A11" t="s">
        <v>14</v>
      </c>
      <c r="B11">
        <v>3.0034000000000001</v>
      </c>
      <c r="C11">
        <v>1781.233062</v>
      </c>
    </row>
    <row r="12" spans="1:3" x14ac:dyDescent="0.25">
      <c r="A12" t="s">
        <v>14</v>
      </c>
      <c r="B12">
        <v>3.0015000000000001</v>
      </c>
      <c r="C12">
        <v>1779.9457990000001</v>
      </c>
    </row>
    <row r="13" spans="1:3" x14ac:dyDescent="0.25">
      <c r="A13" t="s">
        <v>14</v>
      </c>
      <c r="B13">
        <v>2.9569000000000001</v>
      </c>
      <c r="C13">
        <v>1749.7289969999999</v>
      </c>
    </row>
    <row r="14" spans="1:3" x14ac:dyDescent="0.25">
      <c r="A14" t="s">
        <v>8</v>
      </c>
      <c r="B14">
        <v>3.077</v>
      </c>
      <c r="C14">
        <v>1831.097561</v>
      </c>
    </row>
    <row r="15" spans="1:3" x14ac:dyDescent="0.25">
      <c r="A15" t="s">
        <v>8</v>
      </c>
      <c r="B15">
        <v>3.0139</v>
      </c>
      <c r="C15">
        <v>1788.3468829999999</v>
      </c>
    </row>
    <row r="16" spans="1:3" x14ac:dyDescent="0.25">
      <c r="A16" t="s">
        <v>8</v>
      </c>
      <c r="B16">
        <v>2.9420000000000002</v>
      </c>
      <c r="C16">
        <v>1739.6341460000001</v>
      </c>
    </row>
    <row r="17" spans="1:3" x14ac:dyDescent="0.25">
      <c r="A17" t="s">
        <v>9</v>
      </c>
      <c r="B17">
        <v>3.0329000000000002</v>
      </c>
      <c r="C17">
        <v>1801.2195119999999</v>
      </c>
    </row>
    <row r="18" spans="1:3" x14ac:dyDescent="0.25">
      <c r="A18" t="s">
        <v>9</v>
      </c>
      <c r="B18">
        <v>3.0024999999999999</v>
      </c>
      <c r="C18">
        <v>1780.623306</v>
      </c>
    </row>
    <row r="19" spans="1:3" x14ac:dyDescent="0.25">
      <c r="A19" t="s">
        <v>9</v>
      </c>
      <c r="B19">
        <v>3.0251000000000001</v>
      </c>
      <c r="C19">
        <v>1795.9349589999999</v>
      </c>
    </row>
    <row r="20" spans="1:3" x14ac:dyDescent="0.25">
      <c r="A20" t="s">
        <v>10</v>
      </c>
      <c r="B20">
        <v>2.9887000000000001</v>
      </c>
      <c r="C20">
        <v>1771.273713</v>
      </c>
    </row>
    <row r="21" spans="1:3" x14ac:dyDescent="0.25">
      <c r="A21" t="s">
        <v>10</v>
      </c>
      <c r="B21">
        <v>2.9870000000000001</v>
      </c>
      <c r="C21">
        <v>1770.1219510000001</v>
      </c>
    </row>
    <row r="22" spans="1:3" x14ac:dyDescent="0.25">
      <c r="A22" t="s">
        <v>10</v>
      </c>
      <c r="B22">
        <v>2.9986000000000002</v>
      </c>
      <c r="C22">
        <v>1777.9810299999999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2026-04-24T13:05:41Z</dcterms:modified>
</cp:coreProperties>
</file>