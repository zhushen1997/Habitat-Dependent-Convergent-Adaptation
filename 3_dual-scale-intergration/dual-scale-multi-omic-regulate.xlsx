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课题进展\17_Article_Figure&amp;Plot\1_Gut microbes produce branch-chain amino acids for controlling cockroach growth rate\dual-scale-intergration\"/>
    </mc:Choice>
  </mc:AlternateContent>
  <xr:revisionPtr revIDLastSave="0" documentId="13_ncr:1_{027D8F0B-9E6F-4C11-B5A4-74B85AE4717A}" xr6:coauthVersionLast="47" xr6:coauthVersionMax="47" xr10:uidLastSave="{00000000-0000-0000-0000-000000000000}"/>
  <bookViews>
    <workbookView xWindow="-108" yWindow="408" windowWidth="46296" windowHeight="24900" activeTab="6" xr2:uid="{00000000-000D-0000-FFFF-FFFF00000000}"/>
  </bookViews>
  <sheets>
    <sheet name="Total" sheetId="5" r:id="rId1"/>
    <sheet name="Wild enriched MetaG" sheetId="1" r:id="rId2"/>
    <sheet name="Sheet1" sheetId="6" r:id="rId3"/>
    <sheet name="Sheet2" sheetId="7" r:id="rId4"/>
    <sheet name="Wild depleted MetaG" sheetId="2" r:id="rId5"/>
    <sheet name="Wild unregulated HostT" sheetId="3" r:id="rId6"/>
    <sheet name="Wild downregulated HostT" sheetId="4" r:id="rId7"/>
  </sheets>
  <definedNames>
    <definedName name="_xlnm._FilterDatabase" localSheetId="2" hidden="1">Sheet1!$A$1:$D$21</definedName>
    <definedName name="_xlnm._FilterDatabase" localSheetId="3" hidden="1">Sheet2!$A$1:$F$21</definedName>
    <definedName name="_xlnm._FilterDatabase" localSheetId="4" hidden="1">'Wild depleted MetaG'!$E$1:$E$28</definedName>
    <definedName name="_xlnm._FilterDatabase" localSheetId="1" hidden="1">'Wild enriched MetaG'!$E$1:$E$41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6" l="1"/>
  <c r="D5" i="6"/>
  <c r="D6" i="6"/>
  <c r="D7" i="6"/>
  <c r="D18" i="6"/>
  <c r="D4" i="6"/>
  <c r="D19" i="6"/>
  <c r="D9" i="6"/>
  <c r="D8" i="6"/>
  <c r="D17" i="6"/>
  <c r="D2" i="6"/>
  <c r="D12" i="6"/>
  <c r="D11" i="6"/>
  <c r="D13" i="6"/>
  <c r="D20" i="6"/>
  <c r="D3" i="6"/>
  <c r="D14" i="6"/>
  <c r="D15" i="6"/>
  <c r="D21" i="6"/>
  <c r="D16" i="6"/>
</calcChain>
</file>

<file path=xl/sharedStrings.xml><?xml version="1.0" encoding="utf-8"?>
<sst xmlns="http://schemas.openxmlformats.org/spreadsheetml/2006/main" count="1109" uniqueCount="628">
  <si>
    <t>module</t>
  </si>
  <si>
    <t>module_name</t>
  </si>
  <si>
    <t>中文名</t>
  </si>
  <si>
    <t>category_C</t>
  </si>
  <si>
    <t>category_B</t>
  </si>
  <si>
    <t>M00038</t>
  </si>
  <si>
    <t>Tryptophan metabolism, tryptophan =&gt; kynurenine =&gt; 2-aminomuconate</t>
  </si>
  <si>
    <t>色氨酸的代谢,色氨酸→犬尿氨酸→2-氨基己二酸</t>
  </si>
  <si>
    <t>Aromatic amino acid metabolism</t>
  </si>
  <si>
    <t>Amino acid metabolism</t>
  </si>
  <si>
    <t>ko00363</t>
  </si>
  <si>
    <t>Bisphenol degradation</t>
  </si>
  <si>
    <t>双酚的降解</t>
  </si>
  <si>
    <t>Xenobiotics biodegradation and metabolism</t>
  </si>
  <si>
    <t>Xenobiotics biodegradation</t>
  </si>
  <si>
    <t>M00027</t>
  </si>
  <si>
    <t>GABA (gamma-Aminobutyrate) shunt</t>
  </si>
  <si>
    <t>GABA(γ-氨基丁酸)旁路</t>
  </si>
  <si>
    <t>Other amino acid metabolism</t>
  </si>
  <si>
    <t>M00885</t>
  </si>
  <si>
    <t>Meromycolic acid biosynthesis, initiation and elongation FAS II (KasA)</t>
  </si>
  <si>
    <t>梅尔米菌酸的生物合成,起始和延伸FASII(KasA)</t>
  </si>
  <si>
    <t>Fatty acid metabolism</t>
  </si>
  <si>
    <t>Lipid metabolism</t>
  </si>
  <si>
    <t>M00912</t>
  </si>
  <si>
    <t>NAD biosynthesis, tryptophan =&gt; quinolinate =&gt; NAD</t>
  </si>
  <si>
    <t>烟酰胺的生物合成,色氨酸→喹啉酸→烟酰胺</t>
  </si>
  <si>
    <t>Cofactor and vitamin metabolism</t>
  </si>
  <si>
    <t>Metabolism of cofactors and vitamins</t>
  </si>
  <si>
    <t>M00016</t>
  </si>
  <si>
    <t>Lysine biosynthesis, succinyl-DAP pathway, aspartate =&gt; lysine</t>
  </si>
  <si>
    <t>赖氨酸的生物合成,琥珀酰-DAP途径,天冬氨酸→赖氨酸</t>
  </si>
  <si>
    <t>Lysine metabolism</t>
  </si>
  <si>
    <t>ko00908</t>
  </si>
  <si>
    <t>Zeatin biosynthesis</t>
  </si>
  <si>
    <t>玉米素的生物合成</t>
  </si>
  <si>
    <t>Metabolism of terpenoids and polyketides</t>
  </si>
  <si>
    <t>Biosynthesis of terpenoids and polyketides</t>
  </si>
  <si>
    <t>M00017</t>
  </si>
  <si>
    <t>Methionine biosynthesis, aspartate =&gt; homoserine =&gt; methionine</t>
  </si>
  <si>
    <t>甲硫氨酸的生物合成,天冬氨酸→齐墩果氨酸→甲硫氨酸</t>
  </si>
  <si>
    <t>Cysteine and methionine metabolism</t>
  </si>
  <si>
    <t>M00526</t>
  </si>
  <si>
    <t>Lysine biosynthesis, DAP dehydrogenase pathway, aspartate =&gt; lysine</t>
  </si>
  <si>
    <t>赖氨酸的生物合成,DAP脱氢酶途径,天冬氨酸→赖氨酸</t>
  </si>
  <si>
    <t>M00546</t>
  </si>
  <si>
    <t>Purine degradation, xanthine =&gt; urea</t>
  </si>
  <si>
    <t>嘌呤的降解,黄嘌呤→尿素</t>
  </si>
  <si>
    <t>Purine metabolism</t>
  </si>
  <si>
    <t>Nucleotide metabolism</t>
  </si>
  <si>
    <t>M00887</t>
  </si>
  <si>
    <t>Mycolic acid biosynthesis, meromycolic acid + alpha-carboxyacyl-CoA + trehalose =&gt; TMM =&gt; TDM/mAGP/GMM</t>
  </si>
  <si>
    <t>肽聚糖的生物合成,梅尔米菌酸+α-羧酸酰辅酶A+海藻糖→TMM→TDM/mAGP/GMM</t>
  </si>
  <si>
    <t>M00010</t>
  </si>
  <si>
    <t>Citrate cycle, first carbon oxidation, oxaloacetate =&gt; 2-oxoglutarate</t>
  </si>
  <si>
    <t>柠檬酸循环,第一个碳的氧化,草酰乙酸→α-酮戊二酸</t>
  </si>
  <si>
    <t>Central carbohydrate metabolism</t>
  </si>
  <si>
    <t>Carbohydrate metabolism</t>
  </si>
  <si>
    <t>M00616</t>
  </si>
  <si>
    <t>Sulfate-sulfur assimilation</t>
  </si>
  <si>
    <t>硫酸盐-硫同化</t>
  </si>
  <si>
    <t>Metabolic capacity</t>
  </si>
  <si>
    <t>ko00625</t>
  </si>
  <si>
    <t>Chloroalkane and chloroalkene degradation</t>
  </si>
  <si>
    <t>氯代烷烃和氯代烯烃的降解</t>
  </si>
  <si>
    <t>M00545</t>
  </si>
  <si>
    <t>Trans-cinnamate degradation, trans-cinnamate =&gt; acetyl-CoA</t>
  </si>
  <si>
    <t>反式肉桂酸的降解,反式肉桂酸→乙酰辅酶A</t>
  </si>
  <si>
    <t>Aromatics degradation</t>
  </si>
  <si>
    <t>M00736</t>
  </si>
  <si>
    <t>Nocardicin A biosynthesis, L-pHPG + arginine + serine =&gt; nocardicin A</t>
  </si>
  <si>
    <t>诺卡菌素A的生物合成,L-pHPG+精氨酸+丝氨酸→诺卡菌素A</t>
  </si>
  <si>
    <t>Biosynthesis of beta-lactams</t>
  </si>
  <si>
    <t>Biosynthesis of other secondary metabolites</t>
  </si>
  <si>
    <t>M00555</t>
  </si>
  <si>
    <t>Betaine biosynthesis, choline =&gt; betaine</t>
  </si>
  <si>
    <t>甜菜碱的生物合成,胆碱→甜菜碱</t>
  </si>
  <si>
    <t>Serine and threonine metabolism</t>
  </si>
  <si>
    <t>M00175</t>
  </si>
  <si>
    <t>Nitrogen fixation, nitrogen =&gt; ammonia</t>
  </si>
  <si>
    <t>氮的固定,氮气→氨</t>
  </si>
  <si>
    <t>Nitrogen metabolism</t>
  </si>
  <si>
    <t>Energy metabolism</t>
  </si>
  <si>
    <t>M00044</t>
  </si>
  <si>
    <t>Tyrosine degradation, tyrosine =&gt; homogentisate</t>
  </si>
  <si>
    <t>酪氨酸的降解,酪氨酸→同型尿黑酸</t>
  </si>
  <si>
    <t>ko00984</t>
  </si>
  <si>
    <t>Steroid degradation</t>
  </si>
  <si>
    <t>ko00907</t>
  </si>
  <si>
    <t>Pinene, camphor and geraniol degradation</t>
  </si>
  <si>
    <t>松油烯,樟脑和香叶醇的降解</t>
  </si>
  <si>
    <t>M00973</t>
  </si>
  <si>
    <t>Anammox, nitrite + ammonia =&gt; nitrogen</t>
  </si>
  <si>
    <t>厌氧氨氧化,亚硝酸盐+氨→氮气</t>
  </si>
  <si>
    <t>M00878</t>
  </si>
  <si>
    <t>Phenylacetate degradation, phenylaxetate =&gt; acetyl-CoA/succinyl-CoA</t>
  </si>
  <si>
    <t>M00540</t>
  </si>
  <si>
    <t>Benzoate degradation, cyclohexanecarboxylic acid =&gt;pimeloyl-CoA</t>
  </si>
  <si>
    <t>苯甲酸的降解,环己烷羧酸→槁酸辅酶A</t>
  </si>
  <si>
    <t>M00531</t>
  </si>
  <si>
    <t>Assimilatory nitrate reduction, nitrate =&gt; ammonia</t>
  </si>
  <si>
    <t>同化硝酸盐还原,硝酸盐→氨</t>
  </si>
  <si>
    <t>M00087</t>
  </si>
  <si>
    <t>beta-Oxidation</t>
  </si>
  <si>
    <t>β-氧化</t>
  </si>
  <si>
    <t>M00082</t>
  </si>
  <si>
    <t>Fatty acid biosynthesis, initiation</t>
  </si>
  <si>
    <t>脂肪酸的生物合成,起始阶段</t>
  </si>
  <si>
    <t>M00956</t>
  </si>
  <si>
    <t>Lysine degradation, bacteria, L-lysine =&gt; succinate</t>
  </si>
  <si>
    <t>赖氨酸的降解,细菌,L-赖氨酸→琥珀酸</t>
  </si>
  <si>
    <t>M00960</t>
  </si>
  <si>
    <t>Lysine degradation, bacteria, L-lysine =&gt; D-lysine =&gt; succinate</t>
  </si>
  <si>
    <t>赖氨酸的降解,细菌,L-赖氨酸→D-赖氨酸→琥珀酸</t>
  </si>
  <si>
    <t>M00990</t>
  </si>
  <si>
    <t>Dimethylsulfoniopropionate (DMSP) degradation, demethylation pathway, DMSP =&gt; methanethiol</t>
  </si>
  <si>
    <t>二甲基硫代丙酸(DMSP)的降解,脱甲基途径,DMSP→甲硫醇</t>
  </si>
  <si>
    <t>Sulfur metabolism</t>
  </si>
  <si>
    <t>ko00982</t>
  </si>
  <si>
    <t>Drug metabolism - cytochrome P450</t>
  </si>
  <si>
    <t>药物代谢--细胞色素P450</t>
  </si>
  <si>
    <t>M00975</t>
  </si>
  <si>
    <t>Betaine degradation, bacteria, betaine =&gt; pyruvate</t>
  </si>
  <si>
    <t>甜菜碱降解,细菌,甜菜碱→丙酮酸</t>
  </si>
  <si>
    <t>M00886</t>
  </si>
  <si>
    <t>Meromycolic acid biosynthesis, initiation and elongation FAS II (KasA and KasB)</t>
  </si>
  <si>
    <t>梅尔米菌酸的生物合成,起始和延伸FASII(KasA和KasB)</t>
  </si>
  <si>
    <t>M00364</t>
  </si>
  <si>
    <t>C10-C20 isoprenoid biosynthesis, bacteria</t>
  </si>
  <si>
    <t>C10-C20异戊二烯的生物合成,细菌</t>
  </si>
  <si>
    <t>Terpenoid backbone biosynthesis</t>
  </si>
  <si>
    <t>M00595</t>
  </si>
  <si>
    <t>Sulfur oxidation, SOX system, thiosulfate =&gt; sulfate</t>
  </si>
  <si>
    <t>硫氧化,SOX系统,硫代硫酸盐→硫酸盐</t>
  </si>
  <si>
    <t>M00957</t>
  </si>
  <si>
    <t>Lysine degradation, bacteria, L-lysine =&gt; glutarate =&gt; succinate/acetyl-CoA</t>
  </si>
  <si>
    <t>赖氨酸的降解,细菌,L-赖氨酸→谷氨酸→琥珀酸/乙酰辅酶A</t>
  </si>
  <si>
    <t>M00012</t>
  </si>
  <si>
    <t>Glyoxylate cycle</t>
  </si>
  <si>
    <t>甘油酸循环</t>
  </si>
  <si>
    <t>Other carbohydrate metabolism</t>
  </si>
  <si>
    <t>ko01053</t>
  </si>
  <si>
    <t>Biosynthesis of siderophore group nonribosomal peptides</t>
  </si>
  <si>
    <t>铁载体类非核糖体肽的生物合成</t>
  </si>
  <si>
    <t>ko00930</t>
  </si>
  <si>
    <t>Caprolactam degradation</t>
  </si>
  <si>
    <t>己内酰胺的降解</t>
  </si>
  <si>
    <t>M00570</t>
  </si>
  <si>
    <t>Isoleucine biosynthesis, threonine =&gt; 2-oxobutanoate =&gt; isoleucine</t>
  </si>
  <si>
    <t>异亮氨酸的生物合成,苏氨酸→α-酮丁酸→异亮氨酸</t>
  </si>
  <si>
    <t>Branched-chain amino acid metabolism</t>
  </si>
  <si>
    <t>M00072</t>
  </si>
  <si>
    <t>N-glycosylation by oligosaccharyltransferase</t>
  </si>
  <si>
    <t>寡糖基转移酶介导的N-糖基化</t>
  </si>
  <si>
    <t>Glycan biosynthesis</t>
  </si>
  <si>
    <t>Glycan metabolism</t>
  </si>
  <si>
    <t>M00627</t>
  </si>
  <si>
    <t>beta-Lactam resistance, Bla system</t>
  </si>
  <si>
    <t>β-内酰胺耐药性,Bla系统</t>
  </si>
  <si>
    <t>Drug resistance</t>
  </si>
  <si>
    <t>M00535</t>
  </si>
  <si>
    <t>Isoleucine biosynthesis, pyruvate =&gt; 2-oxobutanoate</t>
  </si>
  <si>
    <t>异亮氨酸的生物合成,丙酮酸→α-酮丁酸</t>
  </si>
  <si>
    <t>M00076</t>
  </si>
  <si>
    <t>Dermatan sulfate degradation</t>
  </si>
  <si>
    <t>皮肤素硫酸盐的降解</t>
  </si>
  <si>
    <t>Glycosaminoglycan metabolism</t>
  </si>
  <si>
    <t>M00162</t>
  </si>
  <si>
    <t>Cytochrome b6f complex</t>
  </si>
  <si>
    <t>细胞色素b6f复合体</t>
  </si>
  <si>
    <t>ATP synthesis</t>
  </si>
  <si>
    <t>M00797</t>
  </si>
  <si>
    <t>dTDP-D-desosamine biosynthesis</t>
  </si>
  <si>
    <t>dTDP-D-脱氧岩藻糖的生物合成</t>
  </si>
  <si>
    <t>Polyketide sugar unit biosynthesis</t>
  </si>
  <si>
    <t>M00847</t>
  </si>
  <si>
    <t>Heme biosynthesis, archaea, siroheme =&gt; heme</t>
  </si>
  <si>
    <t>血红素的生物合成,古菌,siro血红素→血红素</t>
  </si>
  <si>
    <t>M00065</t>
  </si>
  <si>
    <t>GPI-anchor biosynthesis, core oligosaccharide</t>
  </si>
  <si>
    <t>GPI锚的生物合成,核心寡糖</t>
  </si>
  <si>
    <t>M00814</t>
  </si>
  <si>
    <t>Acarbose biosynthesis, sedoheptulopyranose-7P =&gt; acarbose</t>
  </si>
  <si>
    <t>阿卡波糖的生物合成,七碳糖-7P→阿卡波糖</t>
  </si>
  <si>
    <t>Biosynthesis of other bacterial compounds</t>
  </si>
  <si>
    <t>M00798</t>
  </si>
  <si>
    <t>dTDP-L-mycarose biosynthesis</t>
  </si>
  <si>
    <t>dTDP-L-麦芽庚糖的生物合成</t>
  </si>
  <si>
    <t>M00145</t>
  </si>
  <si>
    <t>NAD(P)H:quinone oxidoreductase, chloroplasts and cyanobacteria</t>
  </si>
  <si>
    <t>NAD(P)H:醌氧化还原酶,叶绿体和蓝细菌</t>
  </si>
  <si>
    <t>M00730</t>
  </si>
  <si>
    <t>Cationic antimicrobial peptide (CAMP) resistance, VraFG transporter</t>
  </si>
  <si>
    <t>阳离子抗菌肽(CAMP)耐药性,VraFG转运蛋白</t>
  </si>
  <si>
    <t>M00019</t>
  </si>
  <si>
    <t>Valine/isoleucine biosynthesis, pyruvate =&gt; valine / 2-oxobutanoate =&gt; isoleucine</t>
  </si>
  <si>
    <t>缬氨酸/异亮氨酸的生物合成,丙酮酸→缬氨酸/2-氧戊酸→异亮氨酸</t>
  </si>
  <si>
    <t>M00163</t>
  </si>
  <si>
    <t>Photosystem I</t>
  </si>
  <si>
    <t>光系统I</t>
  </si>
  <si>
    <t>Photosynthesis</t>
  </si>
  <si>
    <t>M00432</t>
  </si>
  <si>
    <t>Leucine biosynthesis, 2-oxoisovalerate =&gt; 2-oxoisocaproate</t>
  </si>
  <si>
    <t>缬氨酸的生物合成,α-酮异戊酸→α-酮异己酸</t>
  </si>
  <si>
    <t>M00078</t>
  </si>
  <si>
    <t>Heparan sulfate degradation</t>
  </si>
  <si>
    <t>肝素硫酸盐的降解</t>
  </si>
  <si>
    <t>M00800</t>
  </si>
  <si>
    <t>dTDP-L-megosamine biosynthesis</t>
  </si>
  <si>
    <t>dTDP-L-梅戈糖的生物合成</t>
  </si>
  <si>
    <t>M00803</t>
  </si>
  <si>
    <t>dTDP-D-angolosamine biosynthesis</t>
  </si>
  <si>
    <t>dTDP-D-安哥洛糖的生物合成</t>
  </si>
  <si>
    <t>ko01052</t>
  </si>
  <si>
    <t>Type I polyketide structures</t>
  </si>
  <si>
    <t>I型聚酮结构</t>
  </si>
  <si>
    <t>M00705</t>
  </si>
  <si>
    <t>Multidrug resistance, efflux pump MepA</t>
  </si>
  <si>
    <t>多药耐药性,外排泵MepA</t>
  </si>
  <si>
    <t>M00866</t>
  </si>
  <si>
    <t>KDO2-lipid A biosynthesis, Raetz pathway, non-LpxL-LpxM type</t>
  </si>
  <si>
    <t>KDO2-脂质A的生物合成,Raetz途径,非LpxL-LpxM型</t>
  </si>
  <si>
    <t>Lipopolysaccharide metabolism</t>
  </si>
  <si>
    <t>M00077</t>
  </si>
  <si>
    <t>Chondroitin sulfate degradation</t>
  </si>
  <si>
    <t>软骨素硫酸盐的降解</t>
  </si>
  <si>
    <t>M00081</t>
  </si>
  <si>
    <t>Pectin degradation</t>
  </si>
  <si>
    <t>果胶的降解</t>
  </si>
  <si>
    <t>M00014</t>
  </si>
  <si>
    <t>Glucuronate pathway (uronate pathway)</t>
  </si>
  <si>
    <t>葡糖醛酸途径(尿酸途径)</t>
  </si>
  <si>
    <t>异化硫酸盐还原,硫酸盐→H2S</t>
  </si>
  <si>
    <t>pathway</t>
  </si>
  <si>
    <t>pathway_name</t>
  </si>
  <si>
    <t>Subcategory</t>
  </si>
  <si>
    <t>Category</t>
  </si>
  <si>
    <t>ko04214</t>
  </si>
  <si>
    <t>09143 Cell growth and death</t>
  </si>
  <si>
    <t>09140 Cellular Processes</t>
  </si>
  <si>
    <t>ko04745</t>
  </si>
  <si>
    <t>09157 Sensory system</t>
  </si>
  <si>
    <t>09150 Organismal Systems</t>
  </si>
  <si>
    <t>ko04820</t>
  </si>
  <si>
    <t>09142 Cell motility</t>
  </si>
  <si>
    <t>ko00534</t>
  </si>
  <si>
    <t>09107 Glycan biosynthesis and metabolism</t>
  </si>
  <si>
    <t>09100 Metabolism</t>
  </si>
  <si>
    <t>ko03273</t>
  </si>
  <si>
    <t>09125 Information processing in viruses</t>
  </si>
  <si>
    <t>09120 Genetic Information Processing</t>
  </si>
  <si>
    <t>凋亡</t>
    <phoneticPr fontId="1" type="noConversion"/>
  </si>
  <si>
    <t>光转导</t>
    <phoneticPr fontId="1" type="noConversion"/>
  </si>
  <si>
    <t>肌肉细胞细胞骨架</t>
    <phoneticPr fontId="1" type="noConversion"/>
  </si>
  <si>
    <t>糖胺聚糖生物合成 - 去氧肝素/肝素</t>
  </si>
  <si>
    <t>病毒颗粒</t>
    <phoneticPr fontId="1" type="noConversion"/>
  </si>
  <si>
    <t xml:space="preserve">Apoptosis - fly </t>
    <phoneticPr fontId="1" type="noConversion"/>
  </si>
  <si>
    <t xml:space="preserve">Phototransduction - fly </t>
    <phoneticPr fontId="1" type="noConversion"/>
  </si>
  <si>
    <t xml:space="preserve">Cytoskeleton in muscle cells </t>
    <phoneticPr fontId="1" type="noConversion"/>
  </si>
  <si>
    <t xml:space="preserve">Glycosaminoglycan biosynthesis - heparan sulfate / heparin </t>
    <phoneticPr fontId="1" type="noConversion"/>
  </si>
  <si>
    <t xml:space="preserve">Virion - Lassa virus and SFTS virus </t>
    <phoneticPr fontId="1" type="noConversion"/>
  </si>
  <si>
    <t>09108 Metabolism of cofactors and vitamins</t>
  </si>
  <si>
    <t>09123 Folding, sorting and degradation</t>
  </si>
  <si>
    <t>ko00860</t>
  </si>
  <si>
    <t>ko04150</t>
  </si>
  <si>
    <t>09132 Signal transduction</t>
  </si>
  <si>
    <t>09130 Environmental Information Processing</t>
  </si>
  <si>
    <t>ko00630</t>
  </si>
  <si>
    <t>09101 Carbohydrate metabolism</t>
  </si>
  <si>
    <t>ko00190</t>
  </si>
  <si>
    <t>09102 Energy metabolism</t>
  </si>
  <si>
    <t xml:space="preserve">Thiamine metabolism </t>
    <phoneticPr fontId="1" type="noConversion"/>
  </si>
  <si>
    <t xml:space="preserve">Sulfur relay system </t>
    <phoneticPr fontId="1" type="noConversion"/>
  </si>
  <si>
    <t xml:space="preserve">Porphyrin metabolism </t>
    <phoneticPr fontId="1" type="noConversion"/>
  </si>
  <si>
    <t xml:space="preserve">Glyoxylate and dicarboxylate metabolism </t>
    <phoneticPr fontId="1" type="noConversion"/>
  </si>
  <si>
    <t xml:space="preserve">Oxidative phosphorylation </t>
    <phoneticPr fontId="1" type="noConversion"/>
  </si>
  <si>
    <t>硫胺素代谢</t>
    <phoneticPr fontId="1" type="noConversion"/>
  </si>
  <si>
    <t>硫中继系统</t>
    <phoneticPr fontId="1" type="noConversion"/>
  </si>
  <si>
    <t>卟啉代谢</t>
    <phoneticPr fontId="1" type="noConversion"/>
  </si>
  <si>
    <t xml:space="preserve">mTOR signaling pathway </t>
    <phoneticPr fontId="1" type="noConversion"/>
  </si>
  <si>
    <t>mTOR</t>
    <phoneticPr fontId="1" type="noConversion"/>
  </si>
  <si>
    <t>乙二酸和二羧酸代谢</t>
    <phoneticPr fontId="1" type="noConversion"/>
  </si>
  <si>
    <t>氧化磷酸化</t>
    <phoneticPr fontId="1" type="noConversion"/>
  </si>
  <si>
    <t>M00596</t>
    <phoneticPr fontId="1" type="noConversion"/>
  </si>
  <si>
    <t>ko00730</t>
    <phoneticPr fontId="1" type="noConversion"/>
  </si>
  <si>
    <t>ko04122</t>
    <phoneticPr fontId="1" type="noConversion"/>
  </si>
  <si>
    <t>Scale_I_metaG_up_in _Esin</t>
    <phoneticPr fontId="1" type="noConversion"/>
  </si>
  <si>
    <t>Scale_II_metaG_up_in _Wild</t>
    <phoneticPr fontId="1" type="noConversion"/>
  </si>
  <si>
    <t>M00176</t>
  </si>
  <si>
    <t>M00085</t>
  </si>
  <si>
    <t>M00989</t>
  </si>
  <si>
    <t>M00365</t>
  </si>
  <si>
    <t>M00548</t>
  </si>
  <si>
    <t>M00088</t>
  </si>
  <si>
    <t>M00714</t>
  </si>
  <si>
    <t>M00876</t>
  </si>
  <si>
    <t>M00745</t>
  </si>
  <si>
    <t>M00613</t>
  </si>
  <si>
    <t>M00769</t>
  </si>
  <si>
    <t>M00913</t>
  </si>
  <si>
    <t>M00959</t>
  </si>
  <si>
    <t>M00137</t>
  </si>
  <si>
    <t>M00126</t>
  </si>
  <si>
    <t>M00415</t>
  </si>
  <si>
    <t>M00036</t>
  </si>
  <si>
    <t>M00649</t>
  </si>
  <si>
    <t>M00903</t>
  </si>
  <si>
    <t>M00834</t>
  </si>
  <si>
    <t>ko00571</t>
  </si>
  <si>
    <t>M00117</t>
  </si>
  <si>
    <t>ko00960</t>
  </si>
  <si>
    <t>M00527</t>
  </si>
  <si>
    <t>ko00401</t>
  </si>
  <si>
    <t>M00093</t>
  </si>
  <si>
    <t>M00879</t>
  </si>
  <si>
    <t>M00307</t>
  </si>
  <si>
    <t>M00151</t>
  </si>
  <si>
    <t>M00136</t>
  </si>
  <si>
    <t>M00113</t>
  </si>
  <si>
    <t>M00672</t>
  </si>
  <si>
    <t>M00830</t>
  </si>
  <si>
    <t>M00529</t>
  </si>
  <si>
    <t>M00982</t>
  </si>
  <si>
    <t>ko02010</t>
  </si>
  <si>
    <t>M00992</t>
  </si>
  <si>
    <t>M00039</t>
  </si>
  <si>
    <t>M00923</t>
  </si>
  <si>
    <t>M00045</t>
  </si>
  <si>
    <t>M00538</t>
  </si>
  <si>
    <t>ko00591</t>
  </si>
  <si>
    <t>M00843</t>
  </si>
  <si>
    <t>M00154</t>
  </si>
  <si>
    <t>M00022</t>
  </si>
  <si>
    <t>M00120</t>
  </si>
  <si>
    <t>M00032</t>
  </si>
  <si>
    <t>M00153</t>
  </si>
  <si>
    <t>M00025</t>
  </si>
  <si>
    <t>ko00514</t>
  </si>
  <si>
    <t>M00664</t>
  </si>
  <si>
    <t>M00921</t>
  </si>
  <si>
    <t>M00040</t>
  </si>
  <si>
    <t>ko00980</t>
  </si>
  <si>
    <t>M00697</t>
  </si>
  <si>
    <t>M00842</t>
  </si>
  <si>
    <t>M00779</t>
  </si>
  <si>
    <t>M00008</t>
  </si>
  <si>
    <t>M00024</t>
  </si>
  <si>
    <t>M00639</t>
  </si>
  <si>
    <t>M00845</t>
  </si>
  <si>
    <t>M00991</t>
  </si>
  <si>
    <t>M00376</t>
  </si>
  <si>
    <t>M00551</t>
  </si>
  <si>
    <t>M00543</t>
  </si>
  <si>
    <t>ko02026</t>
  </si>
  <si>
    <t>M00916</t>
  </si>
  <si>
    <t>M00533</t>
  </si>
  <si>
    <t>M00035</t>
  </si>
  <si>
    <t>M00051</t>
  </si>
  <si>
    <t>ko00364</t>
  </si>
  <si>
    <t>M00851</t>
  </si>
  <si>
    <t>M00783</t>
  </si>
  <si>
    <t>M00622</t>
  </si>
  <si>
    <t>M00744</t>
  </si>
  <si>
    <t>M00007</t>
  </si>
  <si>
    <t>M00948</t>
  </si>
  <si>
    <t>M00573</t>
  </si>
  <si>
    <t>M00568</t>
  </si>
  <si>
    <t>M00525</t>
  </si>
  <si>
    <t>M00827</t>
  </si>
  <si>
    <t>M00780</t>
  </si>
  <si>
    <t>M00416</t>
  </si>
  <si>
    <t>M00861</t>
  </si>
  <si>
    <t>M00637</t>
  </si>
  <si>
    <t>M00856</t>
  </si>
  <si>
    <t>M00338</t>
  </si>
  <si>
    <t>M00378</t>
  </si>
  <si>
    <t>M00696</t>
  </si>
  <si>
    <t>M00698</t>
  </si>
  <si>
    <t>M00638</t>
  </si>
  <si>
    <t>M00850</t>
  </si>
  <si>
    <t>M00537</t>
  </si>
  <si>
    <t>M00741</t>
  </si>
  <si>
    <t>ko00643</t>
  </si>
  <si>
    <t>M00641</t>
  </si>
  <si>
    <t>M00028</t>
  </si>
  <si>
    <t>ko00902</t>
  </si>
  <si>
    <t>M00013</t>
  </si>
  <si>
    <t>M00985</t>
  </si>
  <si>
    <t>M00889</t>
  </si>
  <si>
    <t>M00534</t>
  </si>
  <si>
    <t>ko00903</t>
  </si>
  <si>
    <t>M00168</t>
  </si>
  <si>
    <t>M00033</t>
  </si>
  <si>
    <t>M00042</t>
  </si>
  <si>
    <t>M00373</t>
  </si>
  <si>
    <t>M00875</t>
  </si>
  <si>
    <t>M00888</t>
  </si>
  <si>
    <t>M00984</t>
  </si>
  <si>
    <t>ko01055</t>
  </si>
  <si>
    <t>M00951</t>
  </si>
  <si>
    <t>M00172</t>
  </si>
  <si>
    <t>M00853</t>
  </si>
  <si>
    <t>M00915</t>
  </si>
  <si>
    <t>M00018</t>
  </si>
  <si>
    <t>M00846</t>
  </si>
  <si>
    <t>M00539</t>
  </si>
  <si>
    <t>M00417</t>
  </si>
  <si>
    <t>M00100</t>
  </si>
  <si>
    <t>ko00642</t>
  </si>
  <si>
    <t>M00880</t>
  </si>
  <si>
    <t>M00841</t>
  </si>
  <si>
    <t>M00939</t>
  </si>
  <si>
    <t>M00852</t>
  </si>
  <si>
    <t>M00823</t>
  </si>
  <si>
    <t>M00552</t>
  </si>
  <si>
    <t>M00026</t>
  </si>
  <si>
    <t>ko02025</t>
  </si>
  <si>
    <t>M00155</t>
  </si>
  <si>
    <t>ko00983</t>
  </si>
  <si>
    <t>M00170</t>
  </si>
  <si>
    <t>M00781</t>
  </si>
  <si>
    <t>M00883</t>
  </si>
  <si>
    <t>M00918</t>
  </si>
  <si>
    <t>M00544</t>
  </si>
  <si>
    <t>M00569</t>
  </si>
  <si>
    <t>M00615</t>
  </si>
  <si>
    <t>ko04122</t>
  </si>
  <si>
    <t>M00674</t>
  </si>
  <si>
    <t>ko00791</t>
  </si>
  <si>
    <t>M00833</t>
  </si>
  <si>
    <t>M00530</t>
  </si>
  <si>
    <t>M00904</t>
  </si>
  <si>
    <t>M00746</t>
  </si>
  <si>
    <t>M00832</t>
  </si>
  <si>
    <t>M00419</t>
  </si>
  <si>
    <t>Scale_I_metaG_down_in _Esin</t>
    <phoneticPr fontId="1" type="noConversion"/>
  </si>
  <si>
    <t>Scale_II_metaG_down_in _Wild</t>
    <phoneticPr fontId="1" type="noConversion"/>
  </si>
  <si>
    <t>M00930</t>
  </si>
  <si>
    <t>M00344</t>
  </si>
  <si>
    <t>ko02040</t>
  </si>
  <si>
    <t>M00130</t>
  </si>
  <si>
    <t>M00150</t>
  </si>
  <si>
    <t>ko03410</t>
  </si>
  <si>
    <t>M00931</t>
  </si>
  <si>
    <t>M00838</t>
  </si>
  <si>
    <t>M00718</t>
  </si>
  <si>
    <t>M00922</t>
  </si>
  <si>
    <t>M00935</t>
  </si>
  <si>
    <t>M00623</t>
  </si>
  <si>
    <t>M00563</t>
  </si>
  <si>
    <t>M00063</t>
  </si>
  <si>
    <t>M00914</t>
  </si>
  <si>
    <t>ko03022</t>
  </si>
  <si>
    <t>M00620</t>
  </si>
  <si>
    <t>M00550</t>
  </si>
  <si>
    <t>M00949</t>
  </si>
  <si>
    <t>M00967</t>
  </si>
  <si>
    <t>M00596</t>
  </si>
  <si>
    <t>M00617</t>
  </si>
  <si>
    <t>M00621</t>
  </si>
  <si>
    <t>M00836</t>
  </si>
  <si>
    <t>M00934</t>
  </si>
  <si>
    <t>M00840</t>
  </si>
  <si>
    <t>M00092</t>
  </si>
  <si>
    <t>ko01054</t>
  </si>
  <si>
    <t>M00147</t>
  </si>
  <si>
    <t>M00161</t>
  </si>
  <si>
    <t>ko03015</t>
  </si>
  <si>
    <t>M00075</t>
  </si>
  <si>
    <t>ko03018</t>
  </si>
  <si>
    <t>M00029</t>
  </si>
  <si>
    <t>M00815</t>
  </si>
  <si>
    <t>M00651</t>
  </si>
  <si>
    <t>M00096</t>
  </si>
  <si>
    <t>M00091</t>
  </si>
  <si>
    <t>M00970</t>
  </si>
  <si>
    <t>ko00524</t>
  </si>
  <si>
    <t>M00702</t>
  </si>
  <si>
    <t>M00146</t>
  </si>
  <si>
    <t>ko00633</t>
  </si>
  <si>
    <t>M00357</t>
  </si>
  <si>
    <t>M00567</t>
  </si>
  <si>
    <t>ko03050</t>
  </si>
  <si>
    <t>M00159</t>
  </si>
  <si>
    <t>M00642</t>
  </si>
  <si>
    <t>ko00511</t>
  </si>
  <si>
    <t>ko00365</t>
  </si>
  <si>
    <t>M00309</t>
  </si>
  <si>
    <t>M00867</t>
  </si>
  <si>
    <t>M00079</t>
  </si>
  <si>
    <t>M00001</t>
  </si>
  <si>
    <t>M00618</t>
  </si>
  <si>
    <t>M00877</t>
  </si>
  <si>
    <t>M00422</t>
  </si>
  <si>
    <t>M00899</t>
  </si>
  <si>
    <t>M00652</t>
  </si>
  <si>
    <t>M00308</t>
  </si>
  <si>
    <t>M00143</t>
  </si>
  <si>
    <t>M00060</t>
  </si>
  <si>
    <t>M00597</t>
  </si>
  <si>
    <t>ko00970</t>
  </si>
  <si>
    <t>M00157</t>
  </si>
  <si>
    <t>M00115</t>
  </si>
  <si>
    <t>ko00542</t>
  </si>
  <si>
    <t>M00356</t>
  </si>
  <si>
    <t>M00608</t>
  </si>
  <si>
    <t>M00375</t>
  </si>
  <si>
    <t>M00094</t>
  </si>
  <si>
    <t>M00073</t>
  </si>
  <si>
    <t>M00898</t>
  </si>
  <si>
    <t>M00055</t>
  </si>
  <si>
    <t>M00090</t>
  </si>
  <si>
    <t>M00609</t>
  </si>
  <si>
    <t>M00358</t>
  </si>
  <si>
    <t>M00636</t>
  </si>
  <si>
    <t>M00140</t>
  </si>
  <si>
    <t>M00968</t>
  </si>
  <si>
    <t>M00972</t>
  </si>
  <si>
    <t>ko03420</t>
  </si>
  <si>
    <t>M00377</t>
  </si>
  <si>
    <t>M00119</t>
  </si>
  <si>
    <t>M00854</t>
  </si>
  <si>
    <t>ko03450</t>
  </si>
  <si>
    <t>M00048</t>
  </si>
  <si>
    <t>M00860</t>
  </si>
  <si>
    <t>M00049</t>
  </si>
  <si>
    <t>M00549</t>
  </si>
  <si>
    <t>M00802</t>
  </si>
  <si>
    <t>ko03020</t>
  </si>
  <si>
    <t>ko03010</t>
  </si>
  <si>
    <t>ko01051</t>
  </si>
  <si>
    <t>M00966</t>
  </si>
  <si>
    <t>Scale_I_HostT_up_in _Esin</t>
    <phoneticPr fontId="1" type="noConversion"/>
  </si>
  <si>
    <t>Scale_II_HostT_up_in _Wild</t>
    <phoneticPr fontId="1" type="noConversion"/>
  </si>
  <si>
    <t>ko04330</t>
  </si>
  <si>
    <t>ko04512</t>
  </si>
  <si>
    <t>ko04068</t>
  </si>
  <si>
    <t>ko00360</t>
  </si>
  <si>
    <t>ko00310</t>
  </si>
  <si>
    <t>ko00910</t>
  </si>
  <si>
    <t>ko04391</t>
  </si>
  <si>
    <t>ko04215</t>
  </si>
  <si>
    <t>ko00515</t>
  </si>
  <si>
    <t>ko03266</t>
  </si>
  <si>
    <t>ko04310</t>
  </si>
  <si>
    <t>ko04382</t>
  </si>
  <si>
    <t>ko00500</t>
  </si>
  <si>
    <t>ko03430</t>
  </si>
  <si>
    <t>ko05100</t>
  </si>
  <si>
    <t>ko04136</t>
  </si>
  <si>
    <t>ko03008</t>
  </si>
  <si>
    <t>ko04081</t>
  </si>
  <si>
    <t>ko00785</t>
  </si>
  <si>
    <t>ko00562</t>
  </si>
  <si>
    <t>ko03265</t>
  </si>
  <si>
    <t>ko00830</t>
  </si>
  <si>
    <t>ko00513</t>
  </si>
  <si>
    <t>ko03440</t>
  </si>
  <si>
    <t>ko00512</t>
  </si>
  <si>
    <t>ko04350</t>
  </si>
  <si>
    <t>ko04977</t>
  </si>
  <si>
    <t>ko01210</t>
  </si>
  <si>
    <t>ko04082</t>
  </si>
  <si>
    <t>ko04137</t>
  </si>
  <si>
    <t>ko03083</t>
  </si>
  <si>
    <t>ko04624</t>
  </si>
  <si>
    <t>ko04392</t>
  </si>
  <si>
    <t>ko00350</t>
  </si>
  <si>
    <t>ko00340</t>
  </si>
  <si>
    <t>ko00750</t>
  </si>
  <si>
    <t>ko00531</t>
  </si>
  <si>
    <t>ko03030</t>
  </si>
  <si>
    <t>ko03272</t>
  </si>
  <si>
    <t>ko04120</t>
  </si>
  <si>
    <t>ko04013</t>
  </si>
  <si>
    <t>ko04070</t>
  </si>
  <si>
    <t>ko03040</t>
  </si>
  <si>
    <t>ko00330</t>
  </si>
  <si>
    <t>ko04980</t>
  </si>
  <si>
    <t>Scale_I_HostT_down_in _Esin</t>
    <phoneticPr fontId="1" type="noConversion"/>
  </si>
  <si>
    <t>Scale_II_HostT_down_in _Wild</t>
    <phoneticPr fontId="1" type="noConversion"/>
  </si>
  <si>
    <t>ko00052</t>
  </si>
  <si>
    <t>ko01232</t>
  </si>
  <si>
    <t>ko03013</t>
  </si>
  <si>
    <t>ko00541</t>
  </si>
  <si>
    <t>ko00730</t>
  </si>
  <si>
    <t>ko01040</t>
  </si>
  <si>
    <t>ko00400</t>
  </si>
  <si>
    <t>ko00510</t>
  </si>
  <si>
    <t>ko00592</t>
  </si>
  <si>
    <t>ko00450</t>
  </si>
  <si>
    <t>ko00590</t>
  </si>
  <si>
    <t>ko03082</t>
  </si>
  <si>
    <t>ko00780</t>
  </si>
  <si>
    <t>ko04981</t>
  </si>
  <si>
    <t>ko00130</t>
  </si>
  <si>
    <t>ko01212</t>
  </si>
  <si>
    <t>ko03060</t>
  </si>
  <si>
    <t>ko00100</t>
  </si>
  <si>
    <t>ko00220</t>
  </si>
  <si>
    <t>ko04140</t>
  </si>
  <si>
    <t>ko01250</t>
  </si>
  <si>
    <t>ko00790</t>
  </si>
  <si>
    <t>ko00250</t>
  </si>
  <si>
    <t>ko00053</t>
  </si>
  <si>
    <t>ko00290</t>
  </si>
  <si>
    <t>ko00040</t>
  </si>
  <si>
    <t>ko04711</t>
  </si>
  <si>
    <t>ko00981</t>
  </si>
  <si>
    <t>ko00062</t>
  </si>
  <si>
    <t>ko01240</t>
  </si>
  <si>
    <t>ko00760</t>
  </si>
  <si>
    <t>ko00650</t>
  </si>
  <si>
    <t>ko00440</t>
  </si>
  <si>
    <t>ko04148</t>
  </si>
  <si>
    <t>ko00630</t>
    <phoneticPr fontId="1" type="noConversion"/>
  </si>
  <si>
    <t>Dissimilatory sulfate reduction, sulfate =&gt; H2S</t>
    <phoneticPr fontId="1" type="noConversion"/>
  </si>
  <si>
    <t>类别</t>
    <phoneticPr fontId="1" type="noConversion"/>
  </si>
  <si>
    <t>regulation</t>
    <phoneticPr fontId="1" type="noConversion"/>
  </si>
  <si>
    <t>up</t>
    <phoneticPr fontId="1" type="noConversion"/>
  </si>
  <si>
    <t>down</t>
    <phoneticPr fontId="1" type="noConversion"/>
  </si>
  <si>
    <t>Glycan biosynthesis</t>
    <phoneticPr fontId="1" type="noConversion"/>
  </si>
  <si>
    <t>M00540</t>
    <phoneticPr fontId="1" type="noConversion"/>
  </si>
  <si>
    <t>类固醇的降解</t>
    <phoneticPr fontId="1" type="noConversion"/>
  </si>
  <si>
    <t>苯乙酸的降解,苯乙酸→乙酰辅酶A/琥珀酰辅酶A</t>
    <phoneticPr fontId="1" type="noConversion"/>
  </si>
  <si>
    <t>M00364</t>
    <phoneticPr fontId="1" type="noConversion"/>
  </si>
  <si>
    <t>Biosynthesis of terpenoids and polyketides</t>
    <phoneticPr fontId="1" type="noConversion"/>
  </si>
  <si>
    <t>Biosynthesis of other secondary metabolites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</si>
</sst>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9F54-7A91-4857-B186-B3DEC55924A0}">
  <dimension ref="A1:I121"/>
  <sheetViews>
    <sheetView zoomScale="160" zoomScaleNormal="160" workbookViewId="0">
      <selection activeCell="H2" sqref="H2:H32"/>
    </sheetView>
  </sheetViews>
  <sheetFormatPr defaultRowHeight="13.8" x14ac:dyDescent="0.25"/>
  <cols>
    <col min="1" max="1" width="26.5546875" customWidth="1"/>
    <col min="2" max="2" width="28.44140625" customWidth="1"/>
    <col min="3" max="3" width="28.88671875" customWidth="1"/>
    <col min="4" max="4" width="30.5546875" customWidth="1"/>
    <col min="6" max="6" width="24.88671875" customWidth="1"/>
    <col min="7" max="7" width="24.33203125" customWidth="1"/>
    <col min="8" max="8" width="30" customWidth="1"/>
    <col min="9" max="9" width="36.21875" customWidth="1"/>
  </cols>
  <sheetData>
    <row r="1" spans="1:9" x14ac:dyDescent="0.25">
      <c r="A1" t="s">
        <v>286</v>
      </c>
      <c r="B1" t="s">
        <v>287</v>
      </c>
      <c r="C1" t="s">
        <v>435</v>
      </c>
      <c r="D1" t="s">
        <v>436</v>
      </c>
      <c r="F1" t="s">
        <v>532</v>
      </c>
      <c r="G1" t="s">
        <v>533</v>
      </c>
      <c r="H1" t="s">
        <v>579</v>
      </c>
      <c r="I1" t="s">
        <v>580</v>
      </c>
    </row>
    <row r="2" spans="1:9" x14ac:dyDescent="0.25">
      <c r="A2" t="s">
        <v>288</v>
      </c>
      <c r="B2" t="s">
        <v>83</v>
      </c>
      <c r="C2" t="s">
        <v>424</v>
      </c>
      <c r="D2" t="s">
        <v>330</v>
      </c>
      <c r="F2" t="s">
        <v>534</v>
      </c>
      <c r="G2" t="s">
        <v>535</v>
      </c>
      <c r="H2" t="s">
        <v>581</v>
      </c>
      <c r="I2" t="s">
        <v>582</v>
      </c>
    </row>
    <row r="3" spans="1:9" x14ac:dyDescent="0.25">
      <c r="A3" t="s">
        <v>289</v>
      </c>
      <c r="B3" t="s">
        <v>42</v>
      </c>
      <c r="C3" t="s">
        <v>181</v>
      </c>
      <c r="D3" t="s">
        <v>437</v>
      </c>
      <c r="F3" t="s">
        <v>536</v>
      </c>
      <c r="G3" t="s">
        <v>537</v>
      </c>
      <c r="H3" t="s">
        <v>583</v>
      </c>
      <c r="I3" t="s">
        <v>549</v>
      </c>
    </row>
    <row r="4" spans="1:9" x14ac:dyDescent="0.25">
      <c r="A4" t="s">
        <v>53</v>
      </c>
      <c r="B4" t="s">
        <v>121</v>
      </c>
      <c r="C4" t="s">
        <v>226</v>
      </c>
      <c r="D4" t="s">
        <v>410</v>
      </c>
      <c r="F4" t="s">
        <v>538</v>
      </c>
      <c r="G4" t="s">
        <v>539</v>
      </c>
      <c r="H4" t="s">
        <v>442</v>
      </c>
      <c r="I4" t="s">
        <v>584</v>
      </c>
    </row>
    <row r="5" spans="1:9" x14ac:dyDescent="0.25">
      <c r="A5" t="s">
        <v>69</v>
      </c>
      <c r="B5" t="s">
        <v>290</v>
      </c>
      <c r="C5" t="s">
        <v>438</v>
      </c>
      <c r="D5" t="s">
        <v>219</v>
      </c>
      <c r="F5" t="s">
        <v>237</v>
      </c>
      <c r="G5" t="s">
        <v>240</v>
      </c>
      <c r="H5" t="s">
        <v>585</v>
      </c>
      <c r="I5" t="s">
        <v>426</v>
      </c>
    </row>
    <row r="6" spans="1:9" x14ac:dyDescent="0.25">
      <c r="A6" t="s">
        <v>291</v>
      </c>
      <c r="B6" t="s">
        <v>292</v>
      </c>
      <c r="C6" t="s">
        <v>213</v>
      </c>
      <c r="D6" t="s">
        <v>171</v>
      </c>
      <c r="F6" t="s">
        <v>540</v>
      </c>
      <c r="G6" t="s">
        <v>541</v>
      </c>
      <c r="H6" t="s">
        <v>561</v>
      </c>
      <c r="I6" t="s">
        <v>553</v>
      </c>
    </row>
    <row r="7" spans="1:9" x14ac:dyDescent="0.25">
      <c r="A7" t="s">
        <v>293</v>
      </c>
      <c r="B7" t="s">
        <v>294</v>
      </c>
      <c r="C7" t="s">
        <v>439</v>
      </c>
      <c r="D7" t="s">
        <v>229</v>
      </c>
      <c r="F7" t="s">
        <v>542</v>
      </c>
      <c r="G7" t="s">
        <v>543</v>
      </c>
      <c r="H7" t="s">
        <v>426</v>
      </c>
      <c r="I7" t="s">
        <v>418</v>
      </c>
    </row>
    <row r="8" spans="1:9" x14ac:dyDescent="0.25">
      <c r="A8" t="s">
        <v>295</v>
      </c>
      <c r="B8" t="s">
        <v>296</v>
      </c>
      <c r="C8" t="s">
        <v>440</v>
      </c>
      <c r="D8" t="s">
        <v>191</v>
      </c>
      <c r="F8" t="s">
        <v>544</v>
      </c>
      <c r="G8" t="s">
        <v>545</v>
      </c>
      <c r="H8" t="s">
        <v>567</v>
      </c>
      <c r="I8" t="s">
        <v>586</v>
      </c>
    </row>
    <row r="9" spans="1:9" x14ac:dyDescent="0.25">
      <c r="A9" t="s">
        <v>297</v>
      </c>
      <c r="B9" t="s">
        <v>298</v>
      </c>
      <c r="C9" t="s">
        <v>441</v>
      </c>
      <c r="D9" t="s">
        <v>442</v>
      </c>
      <c r="F9" t="s">
        <v>546</v>
      </c>
      <c r="G9" t="s">
        <v>547</v>
      </c>
      <c r="H9" t="s">
        <v>587</v>
      </c>
      <c r="I9" t="s">
        <v>588</v>
      </c>
    </row>
    <row r="10" spans="1:9" x14ac:dyDescent="0.25">
      <c r="A10" t="s">
        <v>299</v>
      </c>
      <c r="B10" t="s">
        <v>300</v>
      </c>
      <c r="C10" t="s">
        <v>335</v>
      </c>
      <c r="D10" t="s">
        <v>443</v>
      </c>
      <c r="F10" t="s">
        <v>240</v>
      </c>
      <c r="G10" t="s">
        <v>548</v>
      </c>
      <c r="H10" t="s">
        <v>269</v>
      </c>
      <c r="I10" t="s">
        <v>589</v>
      </c>
    </row>
    <row r="11" spans="1:9" x14ac:dyDescent="0.25">
      <c r="A11" t="s">
        <v>144</v>
      </c>
      <c r="B11" t="s">
        <v>38</v>
      </c>
      <c r="C11" t="s">
        <v>444</v>
      </c>
      <c r="D11" t="s">
        <v>223</v>
      </c>
      <c r="F11" t="s">
        <v>549</v>
      </c>
      <c r="G11" t="s">
        <v>550</v>
      </c>
      <c r="H11" t="s">
        <v>529</v>
      </c>
      <c r="I11" t="s">
        <v>538</v>
      </c>
    </row>
    <row r="12" spans="1:9" x14ac:dyDescent="0.25">
      <c r="A12" t="s">
        <v>124</v>
      </c>
      <c r="B12" t="s">
        <v>301</v>
      </c>
      <c r="C12" t="s">
        <v>445</v>
      </c>
      <c r="D12" t="s">
        <v>446</v>
      </c>
      <c r="F12" t="s">
        <v>551</v>
      </c>
      <c r="G12" t="s">
        <v>552</v>
      </c>
      <c r="H12" t="s">
        <v>590</v>
      </c>
      <c r="I12" t="s">
        <v>118</v>
      </c>
    </row>
    <row r="13" spans="1:9" x14ac:dyDescent="0.25">
      <c r="A13" t="s">
        <v>302</v>
      </c>
      <c r="B13" t="s">
        <v>131</v>
      </c>
      <c r="C13" t="s">
        <v>216</v>
      </c>
      <c r="D13" t="s">
        <v>447</v>
      </c>
      <c r="F13" t="s">
        <v>553</v>
      </c>
      <c r="G13" t="s">
        <v>554</v>
      </c>
      <c r="H13" t="s">
        <v>263</v>
      </c>
      <c r="I13" t="s">
        <v>591</v>
      </c>
    </row>
    <row r="14" spans="1:9" x14ac:dyDescent="0.25">
      <c r="A14" t="s">
        <v>83</v>
      </c>
      <c r="B14" t="s">
        <v>10</v>
      </c>
      <c r="C14" t="s">
        <v>448</v>
      </c>
      <c r="D14" t="s">
        <v>449</v>
      </c>
      <c r="F14" t="s">
        <v>555</v>
      </c>
      <c r="G14" t="s">
        <v>518</v>
      </c>
      <c r="H14" t="s">
        <v>323</v>
      </c>
      <c r="I14" t="s">
        <v>341</v>
      </c>
    </row>
    <row r="15" spans="1:9" x14ac:dyDescent="0.25">
      <c r="A15" t="s">
        <v>303</v>
      </c>
      <c r="B15" t="s">
        <v>105</v>
      </c>
      <c r="C15" t="s">
        <v>171</v>
      </c>
      <c r="D15" t="s">
        <v>357</v>
      </c>
      <c r="F15" t="s">
        <v>556</v>
      </c>
      <c r="G15" t="s">
        <v>557</v>
      </c>
      <c r="H15" t="s">
        <v>482</v>
      </c>
      <c r="I15" t="s">
        <v>264</v>
      </c>
    </row>
    <row r="16" spans="1:9" x14ac:dyDescent="0.25">
      <c r="A16" t="s">
        <v>304</v>
      </c>
      <c r="B16" t="s">
        <v>305</v>
      </c>
      <c r="C16" t="s">
        <v>450</v>
      </c>
      <c r="D16" t="s">
        <v>451</v>
      </c>
      <c r="F16" t="s">
        <v>558</v>
      </c>
      <c r="G16" t="s">
        <v>559</v>
      </c>
      <c r="H16" t="s">
        <v>592</v>
      </c>
      <c r="I16" t="s">
        <v>593</v>
      </c>
    </row>
    <row r="17" spans="1:9" x14ac:dyDescent="0.25">
      <c r="A17" t="s">
        <v>306</v>
      </c>
      <c r="B17" t="s">
        <v>307</v>
      </c>
      <c r="C17" t="s">
        <v>156</v>
      </c>
      <c r="D17" t="s">
        <v>452</v>
      </c>
      <c r="F17" t="s">
        <v>560</v>
      </c>
      <c r="G17" t="s">
        <v>561</v>
      </c>
      <c r="H17" t="s">
        <v>576</v>
      </c>
      <c r="I17" t="s">
        <v>269</v>
      </c>
    </row>
    <row r="18" spans="1:9" x14ac:dyDescent="0.25">
      <c r="A18" t="s">
        <v>308</v>
      </c>
      <c r="B18" t="s">
        <v>309</v>
      </c>
      <c r="C18" t="s">
        <v>185</v>
      </c>
      <c r="D18" t="s">
        <v>453</v>
      </c>
      <c r="F18" t="s">
        <v>485</v>
      </c>
      <c r="G18" t="s">
        <v>442</v>
      </c>
      <c r="H18" t="s">
        <v>578</v>
      </c>
      <c r="I18" t="s">
        <v>594</v>
      </c>
    </row>
    <row r="19" spans="1:9" x14ac:dyDescent="0.25">
      <c r="A19" t="s">
        <v>91</v>
      </c>
      <c r="B19" t="s">
        <v>310</v>
      </c>
      <c r="C19" t="s">
        <v>454</v>
      </c>
      <c r="D19" t="s">
        <v>455</v>
      </c>
      <c r="F19" t="s">
        <v>562</v>
      </c>
      <c r="G19" t="s">
        <v>237</v>
      </c>
      <c r="H19" t="s">
        <v>595</v>
      </c>
      <c r="I19" t="s">
        <v>596</v>
      </c>
    </row>
    <row r="20" spans="1:9" x14ac:dyDescent="0.25">
      <c r="A20" t="s">
        <v>311</v>
      </c>
      <c r="B20" t="s">
        <v>312</v>
      </c>
      <c r="C20" t="s">
        <v>201</v>
      </c>
      <c r="D20" t="s">
        <v>151</v>
      </c>
      <c r="F20" t="s">
        <v>243</v>
      </c>
      <c r="G20" t="s">
        <v>563</v>
      </c>
      <c r="H20" t="s">
        <v>597</v>
      </c>
      <c r="I20" t="s">
        <v>575</v>
      </c>
    </row>
    <row r="21" spans="1:9" x14ac:dyDescent="0.25">
      <c r="A21" t="s">
        <v>5</v>
      </c>
      <c r="B21" t="s">
        <v>313</v>
      </c>
      <c r="C21" t="s">
        <v>204</v>
      </c>
      <c r="D21" t="s">
        <v>456</v>
      </c>
      <c r="F21" t="s">
        <v>564</v>
      </c>
      <c r="G21" t="s">
        <v>565</v>
      </c>
      <c r="H21" t="s">
        <v>598</v>
      </c>
      <c r="I21" t="s">
        <v>551</v>
      </c>
    </row>
    <row r="22" spans="1:9" x14ac:dyDescent="0.25">
      <c r="A22" t="s">
        <v>141</v>
      </c>
      <c r="B22" t="s">
        <v>314</v>
      </c>
      <c r="C22" t="s">
        <v>457</v>
      </c>
      <c r="D22" t="s">
        <v>458</v>
      </c>
      <c r="F22" t="s">
        <v>566</v>
      </c>
      <c r="G22" t="s">
        <v>567</v>
      </c>
      <c r="H22" t="s">
        <v>599</v>
      </c>
      <c r="I22" t="s">
        <v>600</v>
      </c>
    </row>
    <row r="23" spans="1:9" x14ac:dyDescent="0.25">
      <c r="A23" t="s">
        <v>315</v>
      </c>
      <c r="B23" t="s">
        <v>118</v>
      </c>
      <c r="C23" t="s">
        <v>188</v>
      </c>
      <c r="D23" t="s">
        <v>459</v>
      </c>
      <c r="F23" t="s">
        <v>568</v>
      </c>
      <c r="G23" t="s">
        <v>569</v>
      </c>
      <c r="H23" t="s">
        <v>601</v>
      </c>
      <c r="I23" t="s">
        <v>602</v>
      </c>
    </row>
    <row r="24" spans="1:9" x14ac:dyDescent="0.25">
      <c r="A24" t="s">
        <v>316</v>
      </c>
      <c r="B24" t="s">
        <v>317</v>
      </c>
      <c r="C24" t="s">
        <v>197</v>
      </c>
      <c r="D24" t="s">
        <v>460</v>
      </c>
      <c r="F24" t="s">
        <v>570</v>
      </c>
      <c r="G24" t="s">
        <v>571</v>
      </c>
      <c r="H24" t="s">
        <v>582</v>
      </c>
      <c r="I24" t="s">
        <v>585</v>
      </c>
    </row>
    <row r="25" spans="1:9" x14ac:dyDescent="0.25">
      <c r="A25" t="s">
        <v>318</v>
      </c>
      <c r="B25" t="s">
        <v>319</v>
      </c>
      <c r="C25" t="s">
        <v>160</v>
      </c>
      <c r="D25" t="s">
        <v>226</v>
      </c>
      <c r="F25" t="s">
        <v>245</v>
      </c>
      <c r="G25" t="s">
        <v>482</v>
      </c>
      <c r="H25" t="s">
        <v>603</v>
      </c>
      <c r="I25" t="s">
        <v>263</v>
      </c>
    </row>
    <row r="26" spans="1:9" x14ac:dyDescent="0.25">
      <c r="A26" t="s">
        <v>320</v>
      </c>
      <c r="B26" t="s">
        <v>321</v>
      </c>
      <c r="C26" t="s">
        <v>411</v>
      </c>
      <c r="D26" t="s">
        <v>461</v>
      </c>
      <c r="F26" t="s">
        <v>572</v>
      </c>
      <c r="G26" t="s">
        <v>573</v>
      </c>
      <c r="H26" t="s">
        <v>571</v>
      </c>
      <c r="I26" t="s">
        <v>604</v>
      </c>
    </row>
    <row r="27" spans="1:9" x14ac:dyDescent="0.25">
      <c r="A27" t="s">
        <v>38</v>
      </c>
      <c r="B27" t="s">
        <v>124</v>
      </c>
      <c r="C27" t="s">
        <v>462</v>
      </c>
      <c r="D27" t="s">
        <v>463</v>
      </c>
      <c r="F27" t="s">
        <v>248</v>
      </c>
      <c r="G27" t="s">
        <v>248</v>
      </c>
      <c r="H27" t="s">
        <v>605</v>
      </c>
      <c r="I27" t="s">
        <v>606</v>
      </c>
    </row>
    <row r="28" spans="1:9" x14ac:dyDescent="0.25">
      <c r="A28" t="s">
        <v>74</v>
      </c>
      <c r="B28" t="s">
        <v>322</v>
      </c>
      <c r="C28" t="s">
        <v>464</v>
      </c>
      <c r="D28" t="s">
        <v>185</v>
      </c>
      <c r="F28" t="s">
        <v>574</v>
      </c>
      <c r="G28" t="s">
        <v>243</v>
      </c>
      <c r="H28" t="s">
        <v>264</v>
      </c>
      <c r="I28" t="s">
        <v>607</v>
      </c>
    </row>
    <row r="29" spans="1:9" x14ac:dyDescent="0.25">
      <c r="A29" t="s">
        <v>42</v>
      </c>
      <c r="B29" t="s">
        <v>323</v>
      </c>
      <c r="C29" t="s">
        <v>207</v>
      </c>
      <c r="D29" t="s">
        <v>465</v>
      </c>
      <c r="F29" t="s">
        <v>575</v>
      </c>
      <c r="G29" t="s">
        <v>245</v>
      </c>
      <c r="H29" t="s">
        <v>267</v>
      </c>
      <c r="I29" t="s">
        <v>608</v>
      </c>
    </row>
    <row r="30" spans="1:9" x14ac:dyDescent="0.25">
      <c r="A30" t="s">
        <v>19</v>
      </c>
      <c r="B30" t="s">
        <v>96</v>
      </c>
      <c r="C30" t="s">
        <v>466</v>
      </c>
      <c r="D30" t="s">
        <v>467</v>
      </c>
      <c r="G30" t="s">
        <v>576</v>
      </c>
      <c r="H30" t="s">
        <v>539</v>
      </c>
      <c r="I30" t="s">
        <v>609</v>
      </c>
    </row>
    <row r="31" spans="1:9" x14ac:dyDescent="0.25">
      <c r="A31" t="s">
        <v>62</v>
      </c>
      <c r="B31" t="s">
        <v>324</v>
      </c>
      <c r="C31" t="s">
        <v>468</v>
      </c>
      <c r="D31" t="s">
        <v>469</v>
      </c>
      <c r="G31" t="s">
        <v>577</v>
      </c>
      <c r="H31" t="s">
        <v>537</v>
      </c>
      <c r="I31" t="s">
        <v>610</v>
      </c>
    </row>
    <row r="32" spans="1:9" x14ac:dyDescent="0.25">
      <c r="A32" t="s">
        <v>78</v>
      </c>
      <c r="B32" t="s">
        <v>325</v>
      </c>
      <c r="C32" t="s">
        <v>470</v>
      </c>
      <c r="D32" t="s">
        <v>175</v>
      </c>
      <c r="G32" t="s">
        <v>578</v>
      </c>
      <c r="H32" t="s">
        <v>469</v>
      </c>
      <c r="I32" t="s">
        <v>267</v>
      </c>
    </row>
    <row r="33" spans="1:9" x14ac:dyDescent="0.25">
      <c r="A33" t="s">
        <v>326</v>
      </c>
      <c r="B33" t="s">
        <v>65</v>
      </c>
      <c r="C33" t="s">
        <v>373</v>
      </c>
      <c r="D33" t="s">
        <v>160</v>
      </c>
      <c r="I33" t="s">
        <v>555</v>
      </c>
    </row>
    <row r="34" spans="1:9" x14ac:dyDescent="0.25">
      <c r="A34" t="s">
        <v>99</v>
      </c>
      <c r="B34" t="s">
        <v>144</v>
      </c>
      <c r="C34" t="s">
        <v>471</v>
      </c>
      <c r="D34" t="s">
        <v>472</v>
      </c>
      <c r="I34" t="s">
        <v>611</v>
      </c>
    </row>
    <row r="35" spans="1:9" x14ac:dyDescent="0.25">
      <c r="A35" t="s">
        <v>327</v>
      </c>
      <c r="B35" t="s">
        <v>114</v>
      </c>
      <c r="C35" t="s">
        <v>219</v>
      </c>
      <c r="D35" t="s">
        <v>473</v>
      </c>
      <c r="I35" t="s">
        <v>612</v>
      </c>
    </row>
    <row r="36" spans="1:9" x14ac:dyDescent="0.25">
      <c r="A36" t="s">
        <v>10</v>
      </c>
      <c r="B36" t="s">
        <v>328</v>
      </c>
      <c r="C36" t="s">
        <v>370</v>
      </c>
      <c r="D36" t="s">
        <v>474</v>
      </c>
      <c r="I36" t="s">
        <v>613</v>
      </c>
    </row>
    <row r="37" spans="1:9" x14ac:dyDescent="0.25">
      <c r="A37" t="s">
        <v>127</v>
      </c>
      <c r="B37" t="s">
        <v>329</v>
      </c>
      <c r="C37" t="s">
        <v>210</v>
      </c>
      <c r="D37" t="s">
        <v>475</v>
      </c>
      <c r="I37" t="s">
        <v>614</v>
      </c>
    </row>
    <row r="38" spans="1:9" x14ac:dyDescent="0.25">
      <c r="A38" t="s">
        <v>330</v>
      </c>
      <c r="B38" t="s">
        <v>88</v>
      </c>
      <c r="C38" t="s">
        <v>476</v>
      </c>
      <c r="D38" t="s">
        <v>337</v>
      </c>
    </row>
    <row r="39" spans="1:9" x14ac:dyDescent="0.25">
      <c r="A39" t="s">
        <v>331</v>
      </c>
      <c r="B39" t="s">
        <v>332</v>
      </c>
      <c r="C39" t="s">
        <v>194</v>
      </c>
      <c r="D39" t="s">
        <v>181</v>
      </c>
    </row>
    <row r="40" spans="1:9" x14ac:dyDescent="0.25">
      <c r="A40" t="s">
        <v>333</v>
      </c>
      <c r="B40" t="s">
        <v>53</v>
      </c>
      <c r="C40" t="s">
        <v>401</v>
      </c>
      <c r="D40" t="s">
        <v>210</v>
      </c>
    </row>
    <row r="41" spans="1:9" x14ac:dyDescent="0.25">
      <c r="A41" t="s">
        <v>334</v>
      </c>
      <c r="B41" t="s">
        <v>335</v>
      </c>
      <c r="C41" t="s">
        <v>477</v>
      </c>
      <c r="D41" t="s">
        <v>478</v>
      </c>
    </row>
    <row r="42" spans="1:9" x14ac:dyDescent="0.25">
      <c r="A42" t="s">
        <v>336</v>
      </c>
      <c r="B42" t="s">
        <v>111</v>
      </c>
      <c r="C42" t="s">
        <v>479</v>
      </c>
      <c r="D42" t="s">
        <v>480</v>
      </c>
    </row>
    <row r="43" spans="1:9" x14ac:dyDescent="0.25">
      <c r="A43" t="s">
        <v>337</v>
      </c>
      <c r="B43" t="s">
        <v>338</v>
      </c>
      <c r="C43" t="s">
        <v>191</v>
      </c>
      <c r="D43" t="s">
        <v>481</v>
      </c>
    </row>
    <row r="44" spans="1:9" x14ac:dyDescent="0.25">
      <c r="A44" t="s">
        <v>339</v>
      </c>
      <c r="B44" t="s">
        <v>340</v>
      </c>
      <c r="C44" t="s">
        <v>223</v>
      </c>
      <c r="D44" t="s">
        <v>482</v>
      </c>
    </row>
    <row r="45" spans="1:9" x14ac:dyDescent="0.25">
      <c r="A45" t="s">
        <v>341</v>
      </c>
      <c r="B45" t="s">
        <v>342</v>
      </c>
      <c r="C45" t="s">
        <v>178</v>
      </c>
      <c r="D45" t="s">
        <v>167</v>
      </c>
    </row>
    <row r="46" spans="1:9" x14ac:dyDescent="0.25">
      <c r="A46" t="s">
        <v>343</v>
      </c>
      <c r="B46" t="s">
        <v>29</v>
      </c>
      <c r="C46" t="s">
        <v>229</v>
      </c>
      <c r="D46" t="s">
        <v>213</v>
      </c>
    </row>
    <row r="47" spans="1:9" x14ac:dyDescent="0.25">
      <c r="A47" t="s">
        <v>344</v>
      </c>
      <c r="B47" t="s">
        <v>345</v>
      </c>
      <c r="C47" t="s">
        <v>414</v>
      </c>
      <c r="D47" t="s">
        <v>483</v>
      </c>
    </row>
    <row r="48" spans="1:9" x14ac:dyDescent="0.25">
      <c r="A48" t="s">
        <v>15</v>
      </c>
      <c r="B48" t="s">
        <v>50</v>
      </c>
      <c r="C48" t="s">
        <v>484</v>
      </c>
      <c r="D48" t="s">
        <v>485</v>
      </c>
    </row>
    <row r="49" spans="1:4" x14ac:dyDescent="0.25">
      <c r="A49" t="s">
        <v>346</v>
      </c>
      <c r="B49" t="s">
        <v>347</v>
      </c>
      <c r="C49" t="s">
        <v>486</v>
      </c>
      <c r="D49" t="s">
        <v>487</v>
      </c>
    </row>
    <row r="50" spans="1:4" x14ac:dyDescent="0.25">
      <c r="A50" t="s">
        <v>348</v>
      </c>
      <c r="B50" t="s">
        <v>349</v>
      </c>
      <c r="C50" t="s">
        <v>488</v>
      </c>
      <c r="D50" t="s">
        <v>489</v>
      </c>
    </row>
    <row r="51" spans="1:4" x14ac:dyDescent="0.25">
      <c r="A51" t="s">
        <v>350</v>
      </c>
      <c r="B51" t="s">
        <v>351</v>
      </c>
      <c r="C51" t="s">
        <v>163</v>
      </c>
      <c r="D51" t="s">
        <v>490</v>
      </c>
    </row>
    <row r="52" spans="1:4" x14ac:dyDescent="0.25">
      <c r="A52" t="s">
        <v>352</v>
      </c>
      <c r="B52" t="s">
        <v>58</v>
      </c>
      <c r="C52" t="s">
        <v>167</v>
      </c>
      <c r="D52" t="s">
        <v>491</v>
      </c>
    </row>
    <row r="53" spans="1:4" x14ac:dyDescent="0.25">
      <c r="A53" t="s">
        <v>108</v>
      </c>
      <c r="B53" t="s">
        <v>353</v>
      </c>
      <c r="C53" t="s">
        <v>492</v>
      </c>
      <c r="D53" t="s">
        <v>493</v>
      </c>
    </row>
    <row r="54" spans="1:4" x14ac:dyDescent="0.25">
      <c r="A54" t="s">
        <v>354</v>
      </c>
      <c r="B54" t="s">
        <v>355</v>
      </c>
      <c r="C54" t="s">
        <v>494</v>
      </c>
      <c r="D54" t="s">
        <v>495</v>
      </c>
    </row>
    <row r="55" spans="1:4" x14ac:dyDescent="0.25">
      <c r="A55" t="s">
        <v>356</v>
      </c>
      <c r="B55" t="s">
        <v>91</v>
      </c>
      <c r="C55" t="s">
        <v>496</v>
      </c>
      <c r="D55" t="s">
        <v>497</v>
      </c>
    </row>
    <row r="56" spans="1:4" x14ac:dyDescent="0.25">
      <c r="A56" t="s">
        <v>357</v>
      </c>
      <c r="B56" t="s">
        <v>358</v>
      </c>
      <c r="C56" t="s">
        <v>498</v>
      </c>
      <c r="D56" t="s">
        <v>302</v>
      </c>
    </row>
    <row r="57" spans="1:4" x14ac:dyDescent="0.25">
      <c r="A57" t="s">
        <v>102</v>
      </c>
      <c r="B57" t="s">
        <v>141</v>
      </c>
      <c r="C57" t="s">
        <v>151</v>
      </c>
      <c r="D57" t="s">
        <v>499</v>
      </c>
    </row>
    <row r="58" spans="1:4" x14ac:dyDescent="0.25">
      <c r="A58" t="s">
        <v>29</v>
      </c>
      <c r="B58" t="s">
        <v>359</v>
      </c>
      <c r="C58" t="s">
        <v>147</v>
      </c>
      <c r="D58" t="s">
        <v>500</v>
      </c>
    </row>
    <row r="59" spans="1:4" x14ac:dyDescent="0.25">
      <c r="A59" t="s">
        <v>360</v>
      </c>
      <c r="B59" t="s">
        <v>361</v>
      </c>
      <c r="C59" t="s">
        <v>175</v>
      </c>
      <c r="D59" t="s">
        <v>201</v>
      </c>
    </row>
    <row r="60" spans="1:4" x14ac:dyDescent="0.25">
      <c r="A60" t="s">
        <v>114</v>
      </c>
      <c r="B60" t="s">
        <v>362</v>
      </c>
      <c r="C60" t="s">
        <v>501</v>
      </c>
      <c r="D60" t="s">
        <v>502</v>
      </c>
    </row>
    <row r="61" spans="1:4" x14ac:dyDescent="0.25">
      <c r="A61" t="s">
        <v>363</v>
      </c>
      <c r="B61" t="s">
        <v>364</v>
      </c>
      <c r="C61" t="s">
        <v>503</v>
      </c>
      <c r="D61" t="s">
        <v>504</v>
      </c>
    </row>
    <row r="62" spans="1:4" x14ac:dyDescent="0.25">
      <c r="A62" t="s">
        <v>365</v>
      </c>
      <c r="B62" t="s">
        <v>366</v>
      </c>
      <c r="D62" t="s">
        <v>188</v>
      </c>
    </row>
    <row r="63" spans="1:4" x14ac:dyDescent="0.25">
      <c r="A63" t="s">
        <v>367</v>
      </c>
      <c r="B63" t="s">
        <v>99</v>
      </c>
      <c r="D63" t="s">
        <v>505</v>
      </c>
    </row>
    <row r="64" spans="1:4" x14ac:dyDescent="0.25">
      <c r="A64" t="s">
        <v>65</v>
      </c>
      <c r="B64" t="s">
        <v>368</v>
      </c>
      <c r="D64" t="s">
        <v>506</v>
      </c>
    </row>
    <row r="65" spans="1:4" x14ac:dyDescent="0.25">
      <c r="A65" t="s">
        <v>369</v>
      </c>
      <c r="B65" t="s">
        <v>370</v>
      </c>
      <c r="D65" t="s">
        <v>507</v>
      </c>
    </row>
    <row r="66" spans="1:4" x14ac:dyDescent="0.25">
      <c r="A66" t="s">
        <v>371</v>
      </c>
      <c r="B66" t="s">
        <v>372</v>
      </c>
      <c r="D66" t="s">
        <v>508</v>
      </c>
    </row>
    <row r="67" spans="1:4" x14ac:dyDescent="0.25">
      <c r="A67" t="s">
        <v>58</v>
      </c>
      <c r="B67" t="s">
        <v>373</v>
      </c>
      <c r="D67" t="s">
        <v>509</v>
      </c>
    </row>
    <row r="68" spans="1:4" x14ac:dyDescent="0.25">
      <c r="A68" t="s">
        <v>374</v>
      </c>
      <c r="B68" t="s">
        <v>74</v>
      </c>
      <c r="D68" t="s">
        <v>510</v>
      </c>
    </row>
    <row r="69" spans="1:4" x14ac:dyDescent="0.25">
      <c r="A69" t="s">
        <v>88</v>
      </c>
      <c r="B69" t="s">
        <v>137</v>
      </c>
      <c r="D69" t="s">
        <v>163</v>
      </c>
    </row>
    <row r="70" spans="1:4" x14ac:dyDescent="0.25">
      <c r="A70" t="s">
        <v>375</v>
      </c>
      <c r="B70" t="s">
        <v>376</v>
      </c>
      <c r="D70" t="s">
        <v>511</v>
      </c>
    </row>
    <row r="71" spans="1:4" x14ac:dyDescent="0.25">
      <c r="A71" t="s">
        <v>137</v>
      </c>
      <c r="B71" t="s">
        <v>377</v>
      </c>
      <c r="D71" t="s">
        <v>512</v>
      </c>
    </row>
    <row r="72" spans="1:4" x14ac:dyDescent="0.25">
      <c r="A72" t="s">
        <v>86</v>
      </c>
      <c r="B72" t="s">
        <v>378</v>
      </c>
      <c r="D72" t="s">
        <v>513</v>
      </c>
    </row>
    <row r="73" spans="1:4" x14ac:dyDescent="0.25">
      <c r="A73" t="s">
        <v>379</v>
      </c>
      <c r="B73" t="s">
        <v>380</v>
      </c>
      <c r="D73" t="s">
        <v>514</v>
      </c>
    </row>
    <row r="74" spans="1:4" x14ac:dyDescent="0.25">
      <c r="A74" t="s">
        <v>381</v>
      </c>
      <c r="B74" t="s">
        <v>382</v>
      </c>
      <c r="D74" t="s">
        <v>515</v>
      </c>
    </row>
    <row r="75" spans="1:4" x14ac:dyDescent="0.25">
      <c r="A75" t="s">
        <v>94</v>
      </c>
      <c r="B75" t="s">
        <v>383</v>
      </c>
      <c r="D75" t="s">
        <v>516</v>
      </c>
    </row>
    <row r="76" spans="1:4" x14ac:dyDescent="0.25">
      <c r="A76" t="s">
        <v>45</v>
      </c>
      <c r="B76" t="s">
        <v>134</v>
      </c>
      <c r="D76" t="s">
        <v>517</v>
      </c>
    </row>
    <row r="77" spans="1:4" x14ac:dyDescent="0.25">
      <c r="A77" t="s">
        <v>384</v>
      </c>
      <c r="B77" t="s">
        <v>385</v>
      </c>
      <c r="D77" t="s">
        <v>216</v>
      </c>
    </row>
    <row r="78" spans="1:4" x14ac:dyDescent="0.25">
      <c r="A78" t="s">
        <v>386</v>
      </c>
      <c r="B78" t="s">
        <v>387</v>
      </c>
      <c r="D78" t="s">
        <v>518</v>
      </c>
    </row>
    <row r="79" spans="1:4" x14ac:dyDescent="0.25">
      <c r="A79" t="s">
        <v>388</v>
      </c>
      <c r="B79" t="s">
        <v>389</v>
      </c>
      <c r="D79" t="s">
        <v>519</v>
      </c>
    </row>
    <row r="80" spans="1:4" x14ac:dyDescent="0.25">
      <c r="A80" t="s">
        <v>390</v>
      </c>
      <c r="B80" t="s">
        <v>391</v>
      </c>
      <c r="D80" t="s">
        <v>306</v>
      </c>
    </row>
    <row r="81" spans="1:4" x14ac:dyDescent="0.25">
      <c r="A81" t="s">
        <v>392</v>
      </c>
      <c r="B81" t="s">
        <v>393</v>
      </c>
      <c r="D81" t="s">
        <v>520</v>
      </c>
    </row>
    <row r="82" spans="1:4" x14ac:dyDescent="0.25">
      <c r="A82" t="s">
        <v>394</v>
      </c>
      <c r="B82" t="s">
        <v>395</v>
      </c>
      <c r="D82" t="s">
        <v>207</v>
      </c>
    </row>
    <row r="83" spans="1:4" x14ac:dyDescent="0.25">
      <c r="A83" t="s">
        <v>396</v>
      </c>
      <c r="B83" t="s">
        <v>397</v>
      </c>
      <c r="D83" t="s">
        <v>204</v>
      </c>
    </row>
    <row r="84" spans="1:4" x14ac:dyDescent="0.25">
      <c r="A84" t="s">
        <v>105</v>
      </c>
      <c r="B84" t="s">
        <v>33</v>
      </c>
      <c r="D84" t="s">
        <v>521</v>
      </c>
    </row>
    <row r="85" spans="1:4" x14ac:dyDescent="0.25">
      <c r="A85" t="s">
        <v>398</v>
      </c>
      <c r="B85" t="s">
        <v>45</v>
      </c>
      <c r="D85" t="s">
        <v>522</v>
      </c>
    </row>
    <row r="86" spans="1:4" x14ac:dyDescent="0.25">
      <c r="A86" t="s">
        <v>399</v>
      </c>
      <c r="B86" t="s">
        <v>400</v>
      </c>
      <c r="D86" t="s">
        <v>523</v>
      </c>
    </row>
    <row r="87" spans="1:4" x14ac:dyDescent="0.25">
      <c r="A87" t="s">
        <v>111</v>
      </c>
      <c r="B87" t="s">
        <v>401</v>
      </c>
      <c r="D87" t="s">
        <v>524</v>
      </c>
    </row>
    <row r="88" spans="1:4" x14ac:dyDescent="0.25">
      <c r="A88" t="s">
        <v>96</v>
      </c>
      <c r="B88" t="s">
        <v>402</v>
      </c>
      <c r="D88" t="s">
        <v>525</v>
      </c>
    </row>
    <row r="89" spans="1:4" x14ac:dyDescent="0.25">
      <c r="A89" t="s">
        <v>24</v>
      </c>
      <c r="B89" t="s">
        <v>403</v>
      </c>
      <c r="D89" t="s">
        <v>526</v>
      </c>
    </row>
    <row r="90" spans="1:4" x14ac:dyDescent="0.25">
      <c r="A90" t="s">
        <v>50</v>
      </c>
      <c r="B90" t="s">
        <v>404</v>
      </c>
      <c r="D90" t="s">
        <v>457</v>
      </c>
    </row>
    <row r="91" spans="1:4" x14ac:dyDescent="0.25">
      <c r="A91" t="s">
        <v>405</v>
      </c>
      <c r="B91" t="s">
        <v>406</v>
      </c>
      <c r="D91" t="s">
        <v>527</v>
      </c>
    </row>
    <row r="92" spans="1:4" x14ac:dyDescent="0.25">
      <c r="A92" t="s">
        <v>407</v>
      </c>
      <c r="B92" t="s">
        <v>408</v>
      </c>
      <c r="D92" t="s">
        <v>528</v>
      </c>
    </row>
    <row r="93" spans="1:4" x14ac:dyDescent="0.25">
      <c r="A93" t="s">
        <v>409</v>
      </c>
      <c r="B93" t="s">
        <v>78</v>
      </c>
      <c r="D93" t="s">
        <v>197</v>
      </c>
    </row>
    <row r="94" spans="1:4" x14ac:dyDescent="0.25">
      <c r="A94" t="s">
        <v>410</v>
      </c>
      <c r="B94" t="s">
        <v>411</v>
      </c>
      <c r="D94" t="s">
        <v>194</v>
      </c>
    </row>
    <row r="95" spans="1:4" x14ac:dyDescent="0.25">
      <c r="A95" t="s">
        <v>33</v>
      </c>
      <c r="B95" t="s">
        <v>24</v>
      </c>
      <c r="D95" t="s">
        <v>529</v>
      </c>
    </row>
    <row r="96" spans="1:4" x14ac:dyDescent="0.25">
      <c r="A96" t="s">
        <v>118</v>
      </c>
      <c r="B96" t="s">
        <v>412</v>
      </c>
      <c r="D96" t="s">
        <v>530</v>
      </c>
    </row>
    <row r="97" spans="1:4" x14ac:dyDescent="0.25">
      <c r="A97" t="s">
        <v>413</v>
      </c>
      <c r="B97" t="s">
        <v>94</v>
      </c>
      <c r="D97" t="s">
        <v>343</v>
      </c>
    </row>
    <row r="98" spans="1:4" x14ac:dyDescent="0.25">
      <c r="A98" t="s">
        <v>131</v>
      </c>
      <c r="B98" t="s">
        <v>414</v>
      </c>
      <c r="D98" t="s">
        <v>178</v>
      </c>
    </row>
    <row r="99" spans="1:4" x14ac:dyDescent="0.25">
      <c r="A99" t="s">
        <v>415</v>
      </c>
      <c r="B99" t="s">
        <v>416</v>
      </c>
      <c r="D99" t="s">
        <v>531</v>
      </c>
    </row>
    <row r="100" spans="1:4" x14ac:dyDescent="0.25">
      <c r="A100" t="s">
        <v>417</v>
      </c>
      <c r="B100" t="s">
        <v>69</v>
      </c>
      <c r="D100" t="s">
        <v>147</v>
      </c>
    </row>
    <row r="101" spans="1:4" x14ac:dyDescent="0.25">
      <c r="A101" t="s">
        <v>134</v>
      </c>
      <c r="B101" t="s">
        <v>102</v>
      </c>
      <c r="D101" t="s">
        <v>156</v>
      </c>
    </row>
    <row r="102" spans="1:4" x14ac:dyDescent="0.25">
      <c r="A102" t="s">
        <v>418</v>
      </c>
      <c r="B102" t="s">
        <v>419</v>
      </c>
    </row>
    <row r="103" spans="1:4" x14ac:dyDescent="0.25">
      <c r="A103" t="s">
        <v>420</v>
      </c>
      <c r="B103" t="s">
        <v>62</v>
      </c>
    </row>
    <row r="104" spans="1:4" x14ac:dyDescent="0.25">
      <c r="A104" t="s">
        <v>421</v>
      </c>
      <c r="B104" t="s">
        <v>15</v>
      </c>
    </row>
    <row r="105" spans="1:4" x14ac:dyDescent="0.25">
      <c r="A105" t="s">
        <v>121</v>
      </c>
      <c r="B105" t="s">
        <v>422</v>
      </c>
    </row>
    <row r="106" spans="1:4" x14ac:dyDescent="0.25">
      <c r="A106" t="s">
        <v>423</v>
      </c>
      <c r="B106" t="s">
        <v>424</v>
      </c>
    </row>
    <row r="107" spans="1:4" x14ac:dyDescent="0.25">
      <c r="B107" t="s">
        <v>127</v>
      </c>
    </row>
    <row r="108" spans="1:4" x14ac:dyDescent="0.25">
      <c r="B108" t="s">
        <v>108</v>
      </c>
    </row>
    <row r="109" spans="1:4" x14ac:dyDescent="0.25">
      <c r="B109" t="s">
        <v>425</v>
      </c>
    </row>
    <row r="110" spans="1:4" x14ac:dyDescent="0.25">
      <c r="B110" t="s">
        <v>426</v>
      </c>
    </row>
    <row r="111" spans="1:4" x14ac:dyDescent="0.25">
      <c r="B111" t="s">
        <v>427</v>
      </c>
    </row>
    <row r="112" spans="1:4" x14ac:dyDescent="0.25">
      <c r="B112" t="s">
        <v>428</v>
      </c>
    </row>
    <row r="113" spans="2:2" x14ac:dyDescent="0.25">
      <c r="B113" t="s">
        <v>19</v>
      </c>
    </row>
    <row r="114" spans="2:2" x14ac:dyDescent="0.25">
      <c r="B114" t="s">
        <v>429</v>
      </c>
    </row>
    <row r="115" spans="2:2" x14ac:dyDescent="0.25">
      <c r="B115" t="s">
        <v>430</v>
      </c>
    </row>
    <row r="116" spans="2:2" x14ac:dyDescent="0.25">
      <c r="B116" t="s">
        <v>431</v>
      </c>
    </row>
    <row r="117" spans="2:2" x14ac:dyDescent="0.25">
      <c r="B117" t="s">
        <v>432</v>
      </c>
    </row>
    <row r="118" spans="2:2" x14ac:dyDescent="0.25">
      <c r="B118" t="s">
        <v>433</v>
      </c>
    </row>
    <row r="119" spans="2:2" x14ac:dyDescent="0.25">
      <c r="B119" t="s">
        <v>5</v>
      </c>
    </row>
    <row r="120" spans="2:2" x14ac:dyDescent="0.25">
      <c r="B120" t="s">
        <v>434</v>
      </c>
    </row>
    <row r="121" spans="2:2" x14ac:dyDescent="0.25">
      <c r="B121" t="s">
        <v>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C1" zoomScale="145" zoomScaleNormal="145" workbookViewId="0">
      <selection activeCell="E29" sqref="E29"/>
    </sheetView>
  </sheetViews>
  <sheetFormatPr defaultRowHeight="13.8" x14ac:dyDescent="0.25"/>
  <cols>
    <col min="1" max="1" width="21.21875" customWidth="1"/>
    <col min="2" max="2" width="109.21875" customWidth="1"/>
    <col min="3" max="3" width="83.33203125" customWidth="1"/>
    <col min="4" max="4" width="51.33203125" customWidth="1"/>
    <col min="5" max="5" width="51.66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25">
      <c r="A3" t="s">
        <v>62</v>
      </c>
      <c r="B3" t="s">
        <v>63</v>
      </c>
      <c r="C3" t="s">
        <v>64</v>
      </c>
      <c r="D3" t="s">
        <v>13</v>
      </c>
      <c r="E3" t="s">
        <v>14</v>
      </c>
    </row>
    <row r="4" spans="1:5" x14ac:dyDescent="0.25">
      <c r="A4" t="s">
        <v>65</v>
      </c>
      <c r="B4" t="s">
        <v>66</v>
      </c>
      <c r="C4" t="s">
        <v>67</v>
      </c>
      <c r="D4" t="s">
        <v>68</v>
      </c>
      <c r="E4" t="s">
        <v>14</v>
      </c>
    </row>
    <row r="5" spans="1:5" x14ac:dyDescent="0.25">
      <c r="A5" t="s">
        <v>86</v>
      </c>
      <c r="B5" t="s">
        <v>87</v>
      </c>
      <c r="C5" t="s">
        <v>623</v>
      </c>
      <c r="D5" t="s">
        <v>13</v>
      </c>
      <c r="E5" t="s">
        <v>14</v>
      </c>
    </row>
    <row r="6" spans="1:5" x14ac:dyDescent="0.25">
      <c r="A6" t="s">
        <v>94</v>
      </c>
      <c r="B6" t="s">
        <v>95</v>
      </c>
      <c r="C6" t="s">
        <v>624</v>
      </c>
      <c r="D6" t="s">
        <v>68</v>
      </c>
      <c r="E6" t="s">
        <v>14</v>
      </c>
    </row>
    <row r="7" spans="1:5" x14ac:dyDescent="0.25">
      <c r="A7" t="s">
        <v>622</v>
      </c>
      <c r="B7" t="s">
        <v>97</v>
      </c>
      <c r="C7" t="s">
        <v>98</v>
      </c>
      <c r="D7" t="s">
        <v>68</v>
      </c>
      <c r="E7" t="s">
        <v>14</v>
      </c>
    </row>
    <row r="8" spans="1:5" x14ac:dyDescent="0.25">
      <c r="A8" t="s">
        <v>118</v>
      </c>
      <c r="B8" t="s">
        <v>119</v>
      </c>
      <c r="C8" t="s">
        <v>120</v>
      </c>
      <c r="D8" t="s">
        <v>13</v>
      </c>
      <c r="E8" t="s">
        <v>14</v>
      </c>
    </row>
    <row r="9" spans="1:5" x14ac:dyDescent="0.25">
      <c r="A9" t="s">
        <v>144</v>
      </c>
      <c r="B9" t="s">
        <v>145</v>
      </c>
      <c r="C9" t="s">
        <v>146</v>
      </c>
      <c r="D9" t="s">
        <v>13</v>
      </c>
      <c r="E9" t="s">
        <v>14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</row>
    <row r="12" spans="1:5" x14ac:dyDescent="0.25">
      <c r="A12" t="s">
        <v>58</v>
      </c>
      <c r="B12" t="s">
        <v>59</v>
      </c>
      <c r="C12" t="s">
        <v>60</v>
      </c>
      <c r="D12" t="s">
        <v>61</v>
      </c>
      <c r="E12" t="s">
        <v>61</v>
      </c>
    </row>
    <row r="13" spans="1:5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</row>
    <row r="14" spans="1:5" x14ac:dyDescent="0.25">
      <c r="A14" t="s">
        <v>50</v>
      </c>
      <c r="B14" t="s">
        <v>51</v>
      </c>
      <c r="C14" t="s">
        <v>52</v>
      </c>
      <c r="D14" t="s">
        <v>22</v>
      </c>
      <c r="E14" t="s">
        <v>23</v>
      </c>
    </row>
    <row r="15" spans="1:5" x14ac:dyDescent="0.25">
      <c r="A15" t="s">
        <v>102</v>
      </c>
      <c r="B15" t="s">
        <v>103</v>
      </c>
      <c r="C15" t="s">
        <v>104</v>
      </c>
      <c r="D15" t="s">
        <v>22</v>
      </c>
      <c r="E15" t="s">
        <v>23</v>
      </c>
    </row>
    <row r="16" spans="1:5" x14ac:dyDescent="0.25">
      <c r="A16" t="s">
        <v>105</v>
      </c>
      <c r="B16" t="s">
        <v>106</v>
      </c>
      <c r="C16" t="s">
        <v>107</v>
      </c>
      <c r="D16" t="s">
        <v>22</v>
      </c>
      <c r="E16" t="s">
        <v>23</v>
      </c>
    </row>
    <row r="17" spans="1:5" x14ac:dyDescent="0.25">
      <c r="A17" t="s">
        <v>124</v>
      </c>
      <c r="B17" t="s">
        <v>125</v>
      </c>
      <c r="C17" t="s">
        <v>126</v>
      </c>
      <c r="D17" t="s">
        <v>22</v>
      </c>
      <c r="E17" t="s">
        <v>23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91</v>
      </c>
      <c r="B19" t="s">
        <v>92</v>
      </c>
      <c r="C19" t="s">
        <v>93</v>
      </c>
      <c r="D19" t="s">
        <v>81</v>
      </c>
      <c r="E19" t="s">
        <v>82</v>
      </c>
    </row>
    <row r="20" spans="1:5" x14ac:dyDescent="0.25">
      <c r="A20" t="s">
        <v>99</v>
      </c>
      <c r="B20" t="s">
        <v>100</v>
      </c>
      <c r="C20" t="s">
        <v>101</v>
      </c>
      <c r="D20" t="s">
        <v>81</v>
      </c>
      <c r="E20" t="s">
        <v>82</v>
      </c>
    </row>
    <row r="21" spans="1:5" x14ac:dyDescent="0.25">
      <c r="A21" t="s">
        <v>114</v>
      </c>
      <c r="B21" t="s">
        <v>115</v>
      </c>
      <c r="C21" t="s">
        <v>116</v>
      </c>
      <c r="D21" t="s">
        <v>117</v>
      </c>
      <c r="E21" t="s">
        <v>82</v>
      </c>
    </row>
    <row r="22" spans="1:5" x14ac:dyDescent="0.25">
      <c r="A22" t="s">
        <v>131</v>
      </c>
      <c r="B22" t="s">
        <v>132</v>
      </c>
      <c r="C22" t="s">
        <v>133</v>
      </c>
      <c r="D22" t="s">
        <v>117</v>
      </c>
      <c r="E22" t="s">
        <v>82</v>
      </c>
    </row>
    <row r="23" spans="1:5" x14ac:dyDescent="0.25">
      <c r="A23" t="s">
        <v>53</v>
      </c>
      <c r="B23" t="s">
        <v>54</v>
      </c>
      <c r="C23" t="s">
        <v>55</v>
      </c>
      <c r="D23" t="s">
        <v>56</v>
      </c>
      <c r="E23" t="s">
        <v>57</v>
      </c>
    </row>
    <row r="24" spans="1:5" x14ac:dyDescent="0.25">
      <c r="A24" t="s">
        <v>137</v>
      </c>
      <c r="B24" t="s">
        <v>138</v>
      </c>
      <c r="C24" t="s">
        <v>139</v>
      </c>
      <c r="D24" t="s">
        <v>140</v>
      </c>
      <c r="E24" t="s">
        <v>57</v>
      </c>
    </row>
    <row r="25" spans="1:5" x14ac:dyDescent="0.25">
      <c r="A25" t="s">
        <v>33</v>
      </c>
      <c r="B25" t="s">
        <v>34</v>
      </c>
      <c r="C25" t="s">
        <v>35</v>
      </c>
      <c r="D25" t="s">
        <v>36</v>
      </c>
      <c r="E25" t="s">
        <v>626</v>
      </c>
    </row>
    <row r="26" spans="1:5" x14ac:dyDescent="0.25">
      <c r="A26" t="s">
        <v>88</v>
      </c>
      <c r="B26" t="s">
        <v>89</v>
      </c>
      <c r="C26" t="s">
        <v>90</v>
      </c>
      <c r="D26" t="s">
        <v>36</v>
      </c>
      <c r="E26" t="s">
        <v>37</v>
      </c>
    </row>
    <row r="27" spans="1:5" x14ac:dyDescent="0.25">
      <c r="A27" t="s">
        <v>625</v>
      </c>
      <c r="B27" t="s">
        <v>128</v>
      </c>
      <c r="C27" t="s">
        <v>129</v>
      </c>
      <c r="D27" t="s">
        <v>130</v>
      </c>
      <c r="E27" t="s">
        <v>37</v>
      </c>
    </row>
    <row r="28" spans="1:5" x14ac:dyDescent="0.25">
      <c r="A28" t="s">
        <v>141</v>
      </c>
      <c r="B28" t="s">
        <v>142</v>
      </c>
      <c r="C28" t="s">
        <v>143</v>
      </c>
      <c r="D28" t="s">
        <v>36</v>
      </c>
      <c r="E28" t="s">
        <v>37</v>
      </c>
    </row>
    <row r="29" spans="1:5" x14ac:dyDescent="0.25">
      <c r="A29" t="s">
        <v>69</v>
      </c>
      <c r="B29" t="s">
        <v>70</v>
      </c>
      <c r="C29" t="s">
        <v>71</v>
      </c>
      <c r="D29" t="s">
        <v>72</v>
      </c>
      <c r="E29" t="s">
        <v>627</v>
      </c>
    </row>
    <row r="30" spans="1:5" x14ac:dyDescent="0.25">
      <c r="A30" t="s">
        <v>5</v>
      </c>
      <c r="B30" t="s">
        <v>6</v>
      </c>
      <c r="C30" t="s">
        <v>7</v>
      </c>
      <c r="D30" t="s">
        <v>8</v>
      </c>
      <c r="E30" t="s">
        <v>9</v>
      </c>
    </row>
    <row r="31" spans="1:5" x14ac:dyDescent="0.25">
      <c r="A31" t="s">
        <v>15</v>
      </c>
      <c r="B31" t="s">
        <v>16</v>
      </c>
      <c r="C31" t="s">
        <v>17</v>
      </c>
      <c r="D31" t="s">
        <v>18</v>
      </c>
      <c r="E31" t="s">
        <v>9</v>
      </c>
    </row>
    <row r="32" spans="1:5" x14ac:dyDescent="0.25">
      <c r="A32" t="s">
        <v>29</v>
      </c>
      <c r="B32" t="s">
        <v>30</v>
      </c>
      <c r="C32" t="s">
        <v>31</v>
      </c>
      <c r="D32" t="s">
        <v>32</v>
      </c>
      <c r="E32" t="s">
        <v>9</v>
      </c>
    </row>
    <row r="33" spans="1:5" x14ac:dyDescent="0.25">
      <c r="A33" t="s">
        <v>38</v>
      </c>
      <c r="B33" t="s">
        <v>39</v>
      </c>
      <c r="C33" t="s">
        <v>40</v>
      </c>
      <c r="D33" t="s">
        <v>41</v>
      </c>
      <c r="E33" t="s">
        <v>9</v>
      </c>
    </row>
    <row r="34" spans="1:5" x14ac:dyDescent="0.25">
      <c r="A34" t="s">
        <v>42</v>
      </c>
      <c r="B34" t="s">
        <v>43</v>
      </c>
      <c r="C34" t="s">
        <v>44</v>
      </c>
      <c r="D34" t="s">
        <v>32</v>
      </c>
      <c r="E34" t="s">
        <v>9</v>
      </c>
    </row>
    <row r="35" spans="1:5" x14ac:dyDescent="0.25">
      <c r="A35" t="s">
        <v>74</v>
      </c>
      <c r="B35" t="s">
        <v>75</v>
      </c>
      <c r="C35" t="s">
        <v>76</v>
      </c>
      <c r="D35" t="s">
        <v>77</v>
      </c>
      <c r="E35" t="s">
        <v>9</v>
      </c>
    </row>
    <row r="36" spans="1:5" x14ac:dyDescent="0.25">
      <c r="A36" t="s">
        <v>83</v>
      </c>
      <c r="B36" t="s">
        <v>84</v>
      </c>
      <c r="C36" t="s">
        <v>85</v>
      </c>
      <c r="D36" t="s">
        <v>8</v>
      </c>
      <c r="E36" t="s">
        <v>9</v>
      </c>
    </row>
    <row r="37" spans="1:5" x14ac:dyDescent="0.25">
      <c r="A37" t="s">
        <v>108</v>
      </c>
      <c r="B37" t="s">
        <v>109</v>
      </c>
      <c r="C37" t="s">
        <v>110</v>
      </c>
      <c r="D37" t="s">
        <v>32</v>
      </c>
      <c r="E37" t="s">
        <v>9</v>
      </c>
    </row>
    <row r="38" spans="1:5" x14ac:dyDescent="0.25">
      <c r="A38" t="s">
        <v>111</v>
      </c>
      <c r="B38" t="s">
        <v>112</v>
      </c>
      <c r="C38" t="s">
        <v>113</v>
      </c>
      <c r="D38" t="s">
        <v>32</v>
      </c>
      <c r="E38" t="s">
        <v>9</v>
      </c>
    </row>
    <row r="39" spans="1:5" x14ac:dyDescent="0.25">
      <c r="A39" t="s">
        <v>121</v>
      </c>
      <c r="B39" t="s">
        <v>122</v>
      </c>
      <c r="C39" t="s">
        <v>123</v>
      </c>
      <c r="D39" t="s">
        <v>77</v>
      </c>
      <c r="E39" t="s">
        <v>9</v>
      </c>
    </row>
    <row r="40" spans="1:5" x14ac:dyDescent="0.25">
      <c r="A40" t="s">
        <v>134</v>
      </c>
      <c r="B40" t="s">
        <v>135</v>
      </c>
      <c r="C40" t="s">
        <v>136</v>
      </c>
      <c r="D40" t="s">
        <v>32</v>
      </c>
      <c r="E40" t="s">
        <v>9</v>
      </c>
    </row>
  </sheetData>
  <autoFilter ref="E1:E41" xr:uid="{00000000-0001-0000-0000-000000000000}">
    <sortState xmlns:xlrd2="http://schemas.microsoft.com/office/spreadsheetml/2017/richdata2" ref="A2:E41">
      <sortCondition descending="1" ref="E1:E4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4633-DD84-4BE8-8CAA-DB035AD58C7F}">
  <dimension ref="A1:D21"/>
  <sheetViews>
    <sheetView zoomScale="160" zoomScaleNormal="160" workbookViewId="0">
      <selection activeCell="A2" sqref="A2:A21"/>
    </sheetView>
  </sheetViews>
  <sheetFormatPr defaultRowHeight="13.8" x14ac:dyDescent="0.25"/>
  <cols>
    <col min="1" max="1" width="26.21875" customWidth="1"/>
    <col min="2" max="2" width="89.21875" customWidth="1"/>
    <col min="3" max="3" width="63.109375" customWidth="1"/>
    <col min="4" max="4" width="45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617</v>
      </c>
    </row>
    <row r="2" spans="1:4" x14ac:dyDescent="0.25">
      <c r="A2" t="s">
        <v>5</v>
      </c>
      <c r="B2" t="s">
        <v>6</v>
      </c>
      <c r="C2" t="s">
        <v>7</v>
      </c>
      <c r="D2" t="str">
        <f>VLOOKUP(A2,'Wild enriched MetaG'!A:E,4,FALSE)</f>
        <v>Aromatic amino acid metabolism</v>
      </c>
    </row>
    <row r="3" spans="1:4" x14ac:dyDescent="0.25">
      <c r="A3" t="s">
        <v>83</v>
      </c>
      <c r="B3" t="s">
        <v>84</v>
      </c>
      <c r="C3" t="s">
        <v>85</v>
      </c>
      <c r="D3" t="str">
        <f>VLOOKUP(A3,'Wild enriched MetaG'!A:E,4,FALSE)</f>
        <v>Aromatic amino acid metabolism</v>
      </c>
    </row>
    <row r="4" spans="1:4" x14ac:dyDescent="0.25">
      <c r="A4" s="1" t="s">
        <v>147</v>
      </c>
      <c r="B4" t="s">
        <v>148</v>
      </c>
      <c r="C4" t="s">
        <v>149</v>
      </c>
      <c r="D4" t="str">
        <f>VLOOKUP(A4,'Wild depleted MetaG'!A:E,4,FALSE)</f>
        <v>Branched-chain amino acid metabolism</v>
      </c>
    </row>
    <row r="5" spans="1:4" x14ac:dyDescent="0.25">
      <c r="A5" s="1" t="s">
        <v>160</v>
      </c>
      <c r="B5" t="s">
        <v>161</v>
      </c>
      <c r="C5" t="s">
        <v>162</v>
      </c>
      <c r="D5" t="str">
        <f>VLOOKUP(A5,'Wild depleted MetaG'!A:E,4,FALSE)</f>
        <v>Branched-chain amino acid metabolism</v>
      </c>
    </row>
    <row r="6" spans="1:4" x14ac:dyDescent="0.25">
      <c r="A6" s="1" t="s">
        <v>194</v>
      </c>
      <c r="B6" t="s">
        <v>195</v>
      </c>
      <c r="C6" t="s">
        <v>196</v>
      </c>
      <c r="D6" t="str">
        <f>VLOOKUP(A6,'Wild depleted MetaG'!A:E,4,FALSE)</f>
        <v>Branched-chain amino acid metabolism</v>
      </c>
    </row>
    <row r="7" spans="1:4" x14ac:dyDescent="0.25">
      <c r="A7" s="1" t="s">
        <v>201</v>
      </c>
      <c r="B7" t="s">
        <v>202</v>
      </c>
      <c r="C7" t="s">
        <v>203</v>
      </c>
      <c r="D7" t="str">
        <f>VLOOKUP(A7,'Wild depleted MetaG'!A:E,4,FALSE)</f>
        <v>Branched-chain amino acid metabolism</v>
      </c>
    </row>
    <row r="8" spans="1:4" x14ac:dyDescent="0.25">
      <c r="A8" t="s">
        <v>53</v>
      </c>
      <c r="B8" t="s">
        <v>54</v>
      </c>
      <c r="C8" t="s">
        <v>55</v>
      </c>
      <c r="D8" t="str">
        <f>VLOOKUP(A8,'Wild enriched MetaG'!A:E,4,FALSE)</f>
        <v>Central carbohydrate metabolism</v>
      </c>
    </row>
    <row r="9" spans="1:4" x14ac:dyDescent="0.25">
      <c r="A9" t="s">
        <v>24</v>
      </c>
      <c r="B9" t="s">
        <v>25</v>
      </c>
      <c r="C9" t="s">
        <v>26</v>
      </c>
      <c r="D9" t="str">
        <f>VLOOKUP(A9,'Wild enriched MetaG'!A:E,4,FALSE)</f>
        <v>Cofactor and vitamin metabolism</v>
      </c>
    </row>
    <row r="10" spans="1:4" x14ac:dyDescent="0.25">
      <c r="A10" t="s">
        <v>175</v>
      </c>
      <c r="B10" t="s">
        <v>176</v>
      </c>
      <c r="C10" t="s">
        <v>177</v>
      </c>
      <c r="D10" t="str">
        <f>VLOOKUP(A10,'Wild depleted MetaG'!A:E,4,FALSE)</f>
        <v>Cofactor and vitamin metabolism</v>
      </c>
    </row>
    <row r="11" spans="1:4" x14ac:dyDescent="0.25">
      <c r="A11" t="s">
        <v>38</v>
      </c>
      <c r="B11" t="s">
        <v>39</v>
      </c>
      <c r="C11" t="s">
        <v>40</v>
      </c>
      <c r="D11" t="str">
        <f>VLOOKUP(A11,'Wild enriched MetaG'!A:E,4,FALSE)</f>
        <v>Cysteine and methionine metabolism</v>
      </c>
    </row>
    <row r="12" spans="1:4" x14ac:dyDescent="0.25">
      <c r="A12" t="s">
        <v>29</v>
      </c>
      <c r="B12" t="s">
        <v>30</v>
      </c>
      <c r="C12" t="s">
        <v>31</v>
      </c>
      <c r="D12" t="str">
        <f>VLOOKUP(A12,'Wild enriched MetaG'!A:E,4,FALSE)</f>
        <v>Lysine metabolism</v>
      </c>
    </row>
    <row r="13" spans="1:4" x14ac:dyDescent="0.25">
      <c r="A13" t="s">
        <v>42</v>
      </c>
      <c r="B13" t="s">
        <v>43</v>
      </c>
      <c r="C13" t="s">
        <v>44</v>
      </c>
      <c r="D13" t="str">
        <f>VLOOKUP(A13,'Wild enriched MetaG'!A:E,4,FALSE)</f>
        <v>Lysine metabolism</v>
      </c>
    </row>
    <row r="14" spans="1:4" x14ac:dyDescent="0.25">
      <c r="A14" t="s">
        <v>108</v>
      </c>
      <c r="B14" t="s">
        <v>109</v>
      </c>
      <c r="C14" t="s">
        <v>110</v>
      </c>
      <c r="D14" t="str">
        <f>VLOOKUP(A14,'Wild enriched MetaG'!A:E,4,FALSE)</f>
        <v>Lysine metabolism</v>
      </c>
    </row>
    <row r="15" spans="1:4" x14ac:dyDescent="0.25">
      <c r="A15" t="s">
        <v>111</v>
      </c>
      <c r="B15" t="s">
        <v>112</v>
      </c>
      <c r="C15" t="s">
        <v>113</v>
      </c>
      <c r="D15" t="str">
        <f>VLOOKUP(A15,'Wild enriched MetaG'!A:E,4,FALSE)</f>
        <v>Lysine metabolism</v>
      </c>
    </row>
    <row r="16" spans="1:4" x14ac:dyDescent="0.25">
      <c r="A16" t="s">
        <v>134</v>
      </c>
      <c r="B16" t="s">
        <v>135</v>
      </c>
      <c r="C16" t="s">
        <v>136</v>
      </c>
      <c r="D16" t="str">
        <f>VLOOKUP(A16,'Wild enriched MetaG'!A:E,4,FALSE)</f>
        <v>Lysine metabolism</v>
      </c>
    </row>
    <row r="17" spans="1:4" x14ac:dyDescent="0.25">
      <c r="A17" t="s">
        <v>137</v>
      </c>
      <c r="B17" t="s">
        <v>138</v>
      </c>
      <c r="C17" t="s">
        <v>139</v>
      </c>
      <c r="D17" t="str">
        <f>VLOOKUP(A17,'Wild enriched MetaG'!A:E,4,FALSE)</f>
        <v>Other carbohydrate metabolism</v>
      </c>
    </row>
    <row r="18" spans="1:4" x14ac:dyDescent="0.25">
      <c r="A18" t="s">
        <v>229</v>
      </c>
      <c r="B18" t="s">
        <v>230</v>
      </c>
      <c r="C18" t="s">
        <v>231</v>
      </c>
      <c r="D18" t="str">
        <f>VLOOKUP(A18,'Wild depleted MetaG'!A:E,4,FALSE)</f>
        <v>Other carbohydrate metabolism</v>
      </c>
    </row>
    <row r="19" spans="1:4" x14ac:dyDescent="0.25">
      <c r="A19" t="s">
        <v>45</v>
      </c>
      <c r="B19" t="s">
        <v>46</v>
      </c>
      <c r="C19" t="s">
        <v>47</v>
      </c>
      <c r="D19" t="str">
        <f>VLOOKUP(A19,'Wild enriched MetaG'!A:E,4,FALSE)</f>
        <v>Purine metabolism</v>
      </c>
    </row>
    <row r="20" spans="1:4" x14ac:dyDescent="0.25">
      <c r="A20" t="s">
        <v>74</v>
      </c>
      <c r="B20" t="s">
        <v>75</v>
      </c>
      <c r="C20" t="s">
        <v>76</v>
      </c>
      <c r="D20" t="str">
        <f>VLOOKUP(A20,'Wild enriched MetaG'!A:E,4,FALSE)</f>
        <v>Serine and threonine metabolism</v>
      </c>
    </row>
    <row r="21" spans="1:4" x14ac:dyDescent="0.25">
      <c r="A21" t="s">
        <v>121</v>
      </c>
      <c r="B21" t="s">
        <v>122</v>
      </c>
      <c r="C21" t="s">
        <v>123</v>
      </c>
      <c r="D21" t="str">
        <f>VLOOKUP(A21,'Wild enriched MetaG'!A:E,4,FALSE)</f>
        <v>Serine and threonine metabolism</v>
      </c>
    </row>
  </sheetData>
  <autoFilter ref="A1:D21" xr:uid="{89794633-DD84-4BE8-8CAA-DB035AD58C7F}">
    <sortState xmlns:xlrd2="http://schemas.microsoft.com/office/spreadsheetml/2017/richdata2" ref="A2:D21">
      <sortCondition ref="D1:D2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3BD4-A042-4345-BFC4-B87CCC2EA0A9}">
  <dimension ref="A1:F21"/>
  <sheetViews>
    <sheetView zoomScale="160" zoomScaleNormal="160" workbookViewId="0">
      <selection activeCell="C41" sqref="C41"/>
    </sheetView>
  </sheetViews>
  <sheetFormatPr defaultRowHeight="13.8" x14ac:dyDescent="0.25"/>
  <cols>
    <col min="2" max="2" width="31.21875" customWidth="1"/>
    <col min="3" max="3" width="87.44140625" customWidth="1"/>
    <col min="4" max="4" width="51.21875" customWidth="1"/>
    <col min="5" max="5" width="55.109375" customWidth="1"/>
    <col min="6" max="6" width="52.44140625" customWidth="1"/>
  </cols>
  <sheetData>
    <row r="1" spans="1:6" x14ac:dyDescent="0.25">
      <c r="A1" t="s">
        <v>0</v>
      </c>
      <c r="B1" t="s">
        <v>618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s="1" t="s">
        <v>147</v>
      </c>
      <c r="B2" t="s">
        <v>620</v>
      </c>
      <c r="C2" t="s">
        <v>148</v>
      </c>
      <c r="D2" t="s">
        <v>149</v>
      </c>
      <c r="E2" t="s">
        <v>150</v>
      </c>
      <c r="F2" t="s">
        <v>9</v>
      </c>
    </row>
    <row r="3" spans="1:6" x14ac:dyDescent="0.25">
      <c r="A3" s="1" t="s">
        <v>160</v>
      </c>
      <c r="B3" t="s">
        <v>620</v>
      </c>
      <c r="C3" t="s">
        <v>161</v>
      </c>
      <c r="D3" t="s">
        <v>162</v>
      </c>
      <c r="E3" t="s">
        <v>150</v>
      </c>
      <c r="F3" t="s">
        <v>9</v>
      </c>
    </row>
    <row r="4" spans="1:6" x14ac:dyDescent="0.25">
      <c r="A4" s="1" t="s">
        <v>194</v>
      </c>
      <c r="B4" t="s">
        <v>620</v>
      </c>
      <c r="C4" t="s">
        <v>195</v>
      </c>
      <c r="D4" t="s">
        <v>196</v>
      </c>
      <c r="E4" t="s">
        <v>150</v>
      </c>
      <c r="F4" t="s">
        <v>9</v>
      </c>
    </row>
    <row r="5" spans="1:6" x14ac:dyDescent="0.25">
      <c r="A5" s="1" t="s">
        <v>201</v>
      </c>
      <c r="B5" t="s">
        <v>620</v>
      </c>
      <c r="C5" t="s">
        <v>202</v>
      </c>
      <c r="D5" t="s">
        <v>203</v>
      </c>
      <c r="E5" t="s">
        <v>150</v>
      </c>
      <c r="F5" t="s">
        <v>9</v>
      </c>
    </row>
    <row r="6" spans="1:6" x14ac:dyDescent="0.25">
      <c r="A6" t="s">
        <v>226</v>
      </c>
      <c r="B6" t="s">
        <v>620</v>
      </c>
      <c r="C6" t="s">
        <v>227</v>
      </c>
      <c r="D6" t="s">
        <v>228</v>
      </c>
      <c r="E6" t="s">
        <v>140</v>
      </c>
      <c r="F6" t="s">
        <v>57</v>
      </c>
    </row>
    <row r="7" spans="1:6" x14ac:dyDescent="0.25">
      <c r="A7" t="s">
        <v>229</v>
      </c>
      <c r="B7" t="s">
        <v>620</v>
      </c>
      <c r="C7" t="s">
        <v>230</v>
      </c>
      <c r="D7" t="s">
        <v>231</v>
      </c>
      <c r="E7" t="s">
        <v>140</v>
      </c>
      <c r="F7" t="s">
        <v>57</v>
      </c>
    </row>
    <row r="8" spans="1:6" x14ac:dyDescent="0.25">
      <c r="A8" t="s">
        <v>175</v>
      </c>
      <c r="B8" t="s">
        <v>620</v>
      </c>
      <c r="C8" t="s">
        <v>176</v>
      </c>
      <c r="D8" t="s">
        <v>177</v>
      </c>
      <c r="E8" t="s">
        <v>27</v>
      </c>
      <c r="F8" t="s">
        <v>28</v>
      </c>
    </row>
    <row r="9" spans="1:6" x14ac:dyDescent="0.25">
      <c r="A9" t="s">
        <v>5</v>
      </c>
      <c r="B9" t="s">
        <v>619</v>
      </c>
      <c r="C9" t="s">
        <v>6</v>
      </c>
      <c r="D9" t="s">
        <v>7</v>
      </c>
      <c r="E9" t="s">
        <v>8</v>
      </c>
      <c r="F9" t="s">
        <v>9</v>
      </c>
    </row>
    <row r="10" spans="1:6" x14ac:dyDescent="0.25">
      <c r="A10" t="s">
        <v>83</v>
      </c>
      <c r="B10" t="s">
        <v>619</v>
      </c>
      <c r="C10" t="s">
        <v>84</v>
      </c>
      <c r="D10" t="s">
        <v>85</v>
      </c>
      <c r="E10" t="s">
        <v>8</v>
      </c>
      <c r="F10" t="s">
        <v>9</v>
      </c>
    </row>
    <row r="11" spans="1:6" x14ac:dyDescent="0.25">
      <c r="A11" t="s">
        <v>38</v>
      </c>
      <c r="B11" t="s">
        <v>619</v>
      </c>
      <c r="C11" t="s">
        <v>39</v>
      </c>
      <c r="D11" t="s">
        <v>40</v>
      </c>
      <c r="E11" t="s">
        <v>41</v>
      </c>
      <c r="F11" t="s">
        <v>9</v>
      </c>
    </row>
    <row r="12" spans="1:6" x14ac:dyDescent="0.25">
      <c r="A12" t="s">
        <v>15</v>
      </c>
      <c r="B12" t="s">
        <v>619</v>
      </c>
      <c r="C12" t="s">
        <v>16</v>
      </c>
      <c r="D12" t="s">
        <v>17</v>
      </c>
      <c r="E12" t="s">
        <v>18</v>
      </c>
      <c r="F12" t="s">
        <v>9</v>
      </c>
    </row>
    <row r="13" spans="1:6" x14ac:dyDescent="0.25">
      <c r="A13" t="s">
        <v>74</v>
      </c>
      <c r="B13" t="s">
        <v>619</v>
      </c>
      <c r="C13" t="s">
        <v>75</v>
      </c>
      <c r="D13" t="s">
        <v>76</v>
      </c>
      <c r="E13" t="s">
        <v>77</v>
      </c>
      <c r="F13" t="s">
        <v>9</v>
      </c>
    </row>
    <row r="14" spans="1:6" x14ac:dyDescent="0.25">
      <c r="A14" t="s">
        <v>121</v>
      </c>
      <c r="B14" t="s">
        <v>619</v>
      </c>
      <c r="C14" t="s">
        <v>122</v>
      </c>
      <c r="D14" t="s">
        <v>123</v>
      </c>
      <c r="E14" t="s">
        <v>77</v>
      </c>
      <c r="F14" t="s">
        <v>9</v>
      </c>
    </row>
    <row r="15" spans="1:6" x14ac:dyDescent="0.25">
      <c r="A15" t="s">
        <v>53</v>
      </c>
      <c r="B15" t="s">
        <v>619</v>
      </c>
      <c r="C15" t="s">
        <v>54</v>
      </c>
      <c r="D15" t="s">
        <v>55</v>
      </c>
      <c r="E15" t="s">
        <v>56</v>
      </c>
      <c r="F15" t="s">
        <v>57</v>
      </c>
    </row>
    <row r="16" spans="1:6" x14ac:dyDescent="0.25">
      <c r="A16" t="s">
        <v>137</v>
      </c>
      <c r="B16" t="s">
        <v>619</v>
      </c>
      <c r="C16" t="s">
        <v>138</v>
      </c>
      <c r="D16" t="s">
        <v>139</v>
      </c>
      <c r="E16" t="s">
        <v>140</v>
      </c>
      <c r="F16" t="s">
        <v>57</v>
      </c>
    </row>
    <row r="17" spans="1:6" x14ac:dyDescent="0.25">
      <c r="A17" t="s">
        <v>114</v>
      </c>
      <c r="B17" t="s">
        <v>619</v>
      </c>
      <c r="C17" t="s">
        <v>115</v>
      </c>
      <c r="D17" t="s">
        <v>116</v>
      </c>
      <c r="E17" t="s">
        <v>117</v>
      </c>
      <c r="F17" t="s">
        <v>82</v>
      </c>
    </row>
    <row r="18" spans="1:6" x14ac:dyDescent="0.25">
      <c r="A18" t="s">
        <v>131</v>
      </c>
      <c r="B18" t="s">
        <v>619</v>
      </c>
      <c r="C18" t="s">
        <v>132</v>
      </c>
      <c r="D18" t="s">
        <v>133</v>
      </c>
      <c r="E18" t="s">
        <v>117</v>
      </c>
      <c r="F18" t="s">
        <v>82</v>
      </c>
    </row>
    <row r="19" spans="1:6" x14ac:dyDescent="0.25">
      <c r="A19" t="s">
        <v>58</v>
      </c>
      <c r="B19" t="s">
        <v>619</v>
      </c>
      <c r="C19" t="s">
        <v>59</v>
      </c>
      <c r="D19" t="s">
        <v>60</v>
      </c>
      <c r="E19" t="s">
        <v>61</v>
      </c>
      <c r="F19" t="s">
        <v>61</v>
      </c>
    </row>
    <row r="20" spans="1:6" x14ac:dyDescent="0.25">
      <c r="A20" t="s">
        <v>24</v>
      </c>
      <c r="B20" t="s">
        <v>619</v>
      </c>
      <c r="C20" t="s">
        <v>25</v>
      </c>
      <c r="D20" t="s">
        <v>26</v>
      </c>
      <c r="E20" t="s">
        <v>27</v>
      </c>
      <c r="F20" t="s">
        <v>28</v>
      </c>
    </row>
    <row r="21" spans="1:6" x14ac:dyDescent="0.25">
      <c r="A21" t="s">
        <v>45</v>
      </c>
      <c r="B21" t="s">
        <v>619</v>
      </c>
      <c r="C21" t="s">
        <v>46</v>
      </c>
      <c r="D21" t="s">
        <v>47</v>
      </c>
      <c r="E21" t="s">
        <v>48</v>
      </c>
      <c r="F21" t="s">
        <v>49</v>
      </c>
    </row>
  </sheetData>
  <autoFilter ref="A1:F21" xr:uid="{67543BD4-A042-4345-BFC4-B87CCC2EA0A9}">
    <sortState xmlns:xlrd2="http://schemas.microsoft.com/office/spreadsheetml/2017/richdata2" ref="A2:F21">
      <sortCondition ref="B1:B21"/>
    </sortState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B711-C716-45B5-AC75-DD2D2DFE8234}">
  <dimension ref="A1:E27"/>
  <sheetViews>
    <sheetView zoomScale="145" zoomScaleNormal="145" workbookViewId="0">
      <selection activeCell="C24" sqref="C24"/>
    </sheetView>
  </sheetViews>
  <sheetFormatPr defaultRowHeight="13.8" x14ac:dyDescent="0.25"/>
  <cols>
    <col min="1" max="1" width="11.33203125" customWidth="1"/>
    <col min="2" max="2" width="76.33203125" customWidth="1"/>
    <col min="3" max="3" width="65.6640625" customWidth="1"/>
    <col min="4" max="4" width="47.88671875" customWidth="1"/>
    <col min="5" max="5" width="45.44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147</v>
      </c>
      <c r="B2" t="s">
        <v>148</v>
      </c>
      <c r="C2" t="s">
        <v>149</v>
      </c>
      <c r="D2" t="s">
        <v>150</v>
      </c>
      <c r="E2" t="s">
        <v>9</v>
      </c>
    </row>
    <row r="3" spans="1:5" x14ac:dyDescent="0.25">
      <c r="A3" s="1" t="s">
        <v>160</v>
      </c>
      <c r="B3" t="s">
        <v>161</v>
      </c>
      <c r="C3" t="s">
        <v>162</v>
      </c>
      <c r="D3" t="s">
        <v>150</v>
      </c>
      <c r="E3" t="s">
        <v>9</v>
      </c>
    </row>
    <row r="4" spans="1:5" x14ac:dyDescent="0.25">
      <c r="A4" s="1" t="s">
        <v>194</v>
      </c>
      <c r="B4" t="s">
        <v>195</v>
      </c>
      <c r="C4" t="s">
        <v>196</v>
      </c>
      <c r="D4" t="s">
        <v>150</v>
      </c>
      <c r="E4" t="s">
        <v>9</v>
      </c>
    </row>
    <row r="5" spans="1:5" x14ac:dyDescent="0.25">
      <c r="A5" s="1" t="s">
        <v>201</v>
      </c>
      <c r="B5" t="s">
        <v>202</v>
      </c>
      <c r="C5" t="s">
        <v>203</v>
      </c>
      <c r="D5" t="s">
        <v>150</v>
      </c>
      <c r="E5" t="s">
        <v>9</v>
      </c>
    </row>
    <row r="6" spans="1:5" x14ac:dyDescent="0.25">
      <c r="A6" t="s">
        <v>181</v>
      </c>
      <c r="B6" t="s">
        <v>182</v>
      </c>
      <c r="C6" t="s">
        <v>183</v>
      </c>
      <c r="D6" t="s">
        <v>184</v>
      </c>
      <c r="E6" t="s">
        <v>73</v>
      </c>
    </row>
    <row r="7" spans="1:5" x14ac:dyDescent="0.25">
      <c r="A7" t="s">
        <v>171</v>
      </c>
      <c r="B7" t="s">
        <v>172</v>
      </c>
      <c r="C7" t="s">
        <v>173</v>
      </c>
      <c r="D7" t="s">
        <v>174</v>
      </c>
      <c r="E7" t="s">
        <v>37</v>
      </c>
    </row>
    <row r="8" spans="1:5" x14ac:dyDescent="0.25">
      <c r="A8" t="s">
        <v>185</v>
      </c>
      <c r="B8" t="s">
        <v>186</v>
      </c>
      <c r="C8" t="s">
        <v>187</v>
      </c>
      <c r="D8" t="s">
        <v>174</v>
      </c>
      <c r="E8" t="s">
        <v>37</v>
      </c>
    </row>
    <row r="9" spans="1:5" x14ac:dyDescent="0.25">
      <c r="A9" t="s">
        <v>207</v>
      </c>
      <c r="B9" t="s">
        <v>208</v>
      </c>
      <c r="C9" t="s">
        <v>209</v>
      </c>
      <c r="D9" t="s">
        <v>174</v>
      </c>
      <c r="E9" t="s">
        <v>37</v>
      </c>
    </row>
    <row r="10" spans="1:5" x14ac:dyDescent="0.25">
      <c r="A10" t="s">
        <v>210</v>
      </c>
      <c r="B10" t="s">
        <v>211</v>
      </c>
      <c r="C10" t="s">
        <v>212</v>
      </c>
      <c r="D10" t="s">
        <v>174</v>
      </c>
      <c r="E10" t="s">
        <v>37</v>
      </c>
    </row>
    <row r="11" spans="1:5" x14ac:dyDescent="0.25">
      <c r="A11" t="s">
        <v>213</v>
      </c>
      <c r="B11" t="s">
        <v>214</v>
      </c>
      <c r="C11" t="s">
        <v>215</v>
      </c>
      <c r="D11" t="s">
        <v>36</v>
      </c>
      <c r="E11" t="s">
        <v>37</v>
      </c>
    </row>
    <row r="12" spans="1:5" x14ac:dyDescent="0.25">
      <c r="A12" t="s">
        <v>226</v>
      </c>
      <c r="B12" t="s">
        <v>227</v>
      </c>
      <c r="C12" t="s">
        <v>228</v>
      </c>
      <c r="D12" t="s">
        <v>140</v>
      </c>
      <c r="E12" t="s">
        <v>57</v>
      </c>
    </row>
    <row r="13" spans="1:5" x14ac:dyDescent="0.25">
      <c r="A13" t="s">
        <v>229</v>
      </c>
      <c r="B13" t="s">
        <v>230</v>
      </c>
      <c r="C13" t="s">
        <v>231</v>
      </c>
      <c r="D13" t="s">
        <v>140</v>
      </c>
      <c r="E13" t="s">
        <v>57</v>
      </c>
    </row>
    <row r="14" spans="1:5" x14ac:dyDescent="0.25">
      <c r="A14" t="s">
        <v>156</v>
      </c>
      <c r="B14" t="s">
        <v>157</v>
      </c>
      <c r="C14" t="s">
        <v>158</v>
      </c>
      <c r="D14" t="s">
        <v>159</v>
      </c>
      <c r="E14" t="s">
        <v>159</v>
      </c>
    </row>
    <row r="15" spans="1:5" x14ac:dyDescent="0.25">
      <c r="A15" t="s">
        <v>191</v>
      </c>
      <c r="B15" t="s">
        <v>192</v>
      </c>
      <c r="C15" t="s">
        <v>193</v>
      </c>
      <c r="D15" t="s">
        <v>159</v>
      </c>
      <c r="E15" t="s">
        <v>159</v>
      </c>
    </row>
    <row r="16" spans="1:5" x14ac:dyDescent="0.25">
      <c r="A16" t="s">
        <v>216</v>
      </c>
      <c r="B16" t="s">
        <v>217</v>
      </c>
      <c r="C16" t="s">
        <v>218</v>
      </c>
      <c r="D16" t="s">
        <v>159</v>
      </c>
      <c r="E16" t="s">
        <v>159</v>
      </c>
    </row>
    <row r="17" spans="1:5" x14ac:dyDescent="0.25">
      <c r="A17" t="s">
        <v>167</v>
      </c>
      <c r="B17" t="s">
        <v>168</v>
      </c>
      <c r="C17" t="s">
        <v>169</v>
      </c>
      <c r="D17" t="s">
        <v>170</v>
      </c>
      <c r="E17" t="s">
        <v>82</v>
      </c>
    </row>
    <row r="18" spans="1:5" x14ac:dyDescent="0.25">
      <c r="A18" t="s">
        <v>188</v>
      </c>
      <c r="B18" t="s">
        <v>189</v>
      </c>
      <c r="C18" t="s">
        <v>190</v>
      </c>
      <c r="D18" t="s">
        <v>170</v>
      </c>
      <c r="E18" t="s">
        <v>82</v>
      </c>
    </row>
    <row r="19" spans="1:5" x14ac:dyDescent="0.25">
      <c r="A19" t="s">
        <v>197</v>
      </c>
      <c r="B19" t="s">
        <v>198</v>
      </c>
      <c r="C19" t="s">
        <v>199</v>
      </c>
      <c r="D19" t="s">
        <v>200</v>
      </c>
      <c r="E19" t="s">
        <v>82</v>
      </c>
    </row>
    <row r="20" spans="1:5" x14ac:dyDescent="0.25">
      <c r="A20" s="1" t="s">
        <v>283</v>
      </c>
      <c r="B20" t="s">
        <v>616</v>
      </c>
      <c r="C20" t="s">
        <v>232</v>
      </c>
      <c r="D20" t="s">
        <v>117</v>
      </c>
      <c r="E20" t="s">
        <v>82</v>
      </c>
    </row>
    <row r="21" spans="1:5" x14ac:dyDescent="0.25">
      <c r="A21" t="s">
        <v>151</v>
      </c>
      <c r="B21" t="s">
        <v>152</v>
      </c>
      <c r="C21" t="s">
        <v>153</v>
      </c>
      <c r="D21" t="s">
        <v>154</v>
      </c>
      <c r="E21" t="s">
        <v>155</v>
      </c>
    </row>
    <row r="22" spans="1:5" x14ac:dyDescent="0.25">
      <c r="A22" t="s">
        <v>163</v>
      </c>
      <c r="B22" t="s">
        <v>164</v>
      </c>
      <c r="C22" t="s">
        <v>165</v>
      </c>
      <c r="D22" t="s">
        <v>166</v>
      </c>
      <c r="E22" t="s">
        <v>155</v>
      </c>
    </row>
    <row r="23" spans="1:5" x14ac:dyDescent="0.25">
      <c r="A23" t="s">
        <v>178</v>
      </c>
      <c r="B23" t="s">
        <v>179</v>
      </c>
      <c r="C23" t="s">
        <v>180</v>
      </c>
      <c r="D23" t="s">
        <v>621</v>
      </c>
      <c r="E23" t="s">
        <v>155</v>
      </c>
    </row>
    <row r="24" spans="1:5" x14ac:dyDescent="0.25">
      <c r="A24" t="s">
        <v>204</v>
      </c>
      <c r="B24" t="s">
        <v>205</v>
      </c>
      <c r="C24" t="s">
        <v>206</v>
      </c>
      <c r="D24" t="s">
        <v>166</v>
      </c>
      <c r="E24" t="s">
        <v>155</v>
      </c>
    </row>
    <row r="25" spans="1:5" x14ac:dyDescent="0.25">
      <c r="A25" t="s">
        <v>219</v>
      </c>
      <c r="B25" t="s">
        <v>220</v>
      </c>
      <c r="C25" t="s">
        <v>221</v>
      </c>
      <c r="D25" t="s">
        <v>222</v>
      </c>
      <c r="E25" t="s">
        <v>155</v>
      </c>
    </row>
    <row r="26" spans="1:5" x14ac:dyDescent="0.25">
      <c r="A26" t="s">
        <v>223</v>
      </c>
      <c r="B26" t="s">
        <v>224</v>
      </c>
      <c r="C26" t="s">
        <v>225</v>
      </c>
      <c r="D26" t="s">
        <v>166</v>
      </c>
      <c r="E26" t="s">
        <v>155</v>
      </c>
    </row>
    <row r="27" spans="1:5" x14ac:dyDescent="0.25">
      <c r="A27" t="s">
        <v>175</v>
      </c>
      <c r="B27" t="s">
        <v>176</v>
      </c>
      <c r="C27" t="s">
        <v>177</v>
      </c>
      <c r="D27" t="s">
        <v>27</v>
      </c>
      <c r="E27" t="s">
        <v>28</v>
      </c>
    </row>
  </sheetData>
  <autoFilter ref="E1:E28" xr:uid="{3AEAB711-C716-45B5-AC75-DD2D2DFE8234}">
    <sortState xmlns:xlrd2="http://schemas.microsoft.com/office/spreadsheetml/2017/richdata2" ref="A2:E28">
      <sortCondition ref="E1:E28"/>
    </sortState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85D7-8442-434A-A710-774FBF800D93}">
  <dimension ref="A1:E6"/>
  <sheetViews>
    <sheetView zoomScale="190" zoomScaleNormal="190" workbookViewId="0">
      <selection activeCell="A2" sqref="A2:A6"/>
    </sheetView>
  </sheetViews>
  <sheetFormatPr defaultRowHeight="13.8" x14ac:dyDescent="0.25"/>
  <cols>
    <col min="1" max="1" width="15.88671875" customWidth="1"/>
    <col min="2" max="2" width="56.109375" customWidth="1"/>
    <col min="3" max="3" width="36.88671875" customWidth="1"/>
    <col min="4" max="4" width="39.21875" customWidth="1"/>
    <col min="5" max="5" width="39.44140625" customWidth="1"/>
  </cols>
  <sheetData>
    <row r="1" spans="1:5" x14ac:dyDescent="0.25">
      <c r="A1" t="s">
        <v>233</v>
      </c>
      <c r="B1" t="s">
        <v>234</v>
      </c>
      <c r="C1" t="s">
        <v>2</v>
      </c>
      <c r="D1" t="s">
        <v>235</v>
      </c>
      <c r="E1" t="s">
        <v>236</v>
      </c>
    </row>
    <row r="2" spans="1:5" x14ac:dyDescent="0.25">
      <c r="A2" s="1" t="s">
        <v>237</v>
      </c>
      <c r="B2" t="s">
        <v>256</v>
      </c>
      <c r="C2" t="s">
        <v>251</v>
      </c>
      <c r="D2" t="s">
        <v>238</v>
      </c>
      <c r="E2" t="s">
        <v>239</v>
      </c>
    </row>
    <row r="3" spans="1:5" x14ac:dyDescent="0.25">
      <c r="A3" t="s">
        <v>240</v>
      </c>
      <c r="B3" t="s">
        <v>257</v>
      </c>
      <c r="C3" t="s">
        <v>252</v>
      </c>
      <c r="D3" t="s">
        <v>241</v>
      </c>
      <c r="E3" t="s">
        <v>242</v>
      </c>
    </row>
    <row r="4" spans="1:5" x14ac:dyDescent="0.25">
      <c r="A4" t="s">
        <v>243</v>
      </c>
      <c r="B4" t="s">
        <v>258</v>
      </c>
      <c r="C4" t="s">
        <v>253</v>
      </c>
      <c r="D4" t="s">
        <v>244</v>
      </c>
      <c r="E4" t="s">
        <v>239</v>
      </c>
    </row>
    <row r="5" spans="1:5" x14ac:dyDescent="0.25">
      <c r="A5" t="s">
        <v>245</v>
      </c>
      <c r="B5" t="s">
        <v>259</v>
      </c>
      <c r="C5" t="s">
        <v>254</v>
      </c>
      <c r="D5" t="s">
        <v>246</v>
      </c>
      <c r="E5" t="s">
        <v>247</v>
      </c>
    </row>
    <row r="6" spans="1:5" x14ac:dyDescent="0.25">
      <c r="A6" t="s">
        <v>248</v>
      </c>
      <c r="B6" t="s">
        <v>260</v>
      </c>
      <c r="C6" t="s">
        <v>255</v>
      </c>
      <c r="D6" t="s">
        <v>249</v>
      </c>
      <c r="E6" t="s">
        <v>250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EC76-453C-4FBD-93E3-FE7AC5D346CA}">
  <dimension ref="A1:E7"/>
  <sheetViews>
    <sheetView tabSelected="1" zoomScale="145" zoomScaleNormal="145" workbookViewId="0">
      <selection activeCell="A7" sqref="A2:A7"/>
    </sheetView>
  </sheetViews>
  <sheetFormatPr defaultRowHeight="13.8" x14ac:dyDescent="0.25"/>
  <cols>
    <col min="1" max="1" width="12.88671875" customWidth="1"/>
    <col min="2" max="2" width="38.77734375" customWidth="1"/>
    <col min="3" max="3" width="23.44140625" customWidth="1"/>
    <col min="4" max="4" width="41.109375" customWidth="1"/>
    <col min="5" max="5" width="40.33203125" customWidth="1"/>
  </cols>
  <sheetData>
    <row r="1" spans="1:5" x14ac:dyDescent="0.25">
      <c r="A1" t="s">
        <v>233</v>
      </c>
      <c r="B1" t="s">
        <v>234</v>
      </c>
      <c r="C1" t="s">
        <v>2</v>
      </c>
      <c r="D1" t="s">
        <v>235</v>
      </c>
      <c r="E1" t="s">
        <v>236</v>
      </c>
    </row>
    <row r="2" spans="1:5" x14ac:dyDescent="0.25">
      <c r="A2" s="1" t="s">
        <v>284</v>
      </c>
      <c r="B2" t="s">
        <v>271</v>
      </c>
      <c r="C2" t="s">
        <v>276</v>
      </c>
      <c r="D2" t="s">
        <v>261</v>
      </c>
      <c r="E2" t="s">
        <v>247</v>
      </c>
    </row>
    <row r="3" spans="1:5" x14ac:dyDescent="0.25">
      <c r="A3" s="1" t="s">
        <v>285</v>
      </c>
      <c r="B3" t="s">
        <v>272</v>
      </c>
      <c r="C3" t="s">
        <v>277</v>
      </c>
      <c r="D3" t="s">
        <v>262</v>
      </c>
      <c r="E3" t="s">
        <v>250</v>
      </c>
    </row>
    <row r="4" spans="1:5" x14ac:dyDescent="0.25">
      <c r="A4" t="s">
        <v>263</v>
      </c>
      <c r="B4" t="s">
        <v>273</v>
      </c>
      <c r="C4" t="s">
        <v>278</v>
      </c>
      <c r="D4" t="s">
        <v>261</v>
      </c>
      <c r="E4" t="s">
        <v>247</v>
      </c>
    </row>
    <row r="5" spans="1:5" x14ac:dyDescent="0.25">
      <c r="A5" s="1" t="s">
        <v>264</v>
      </c>
      <c r="B5" t="s">
        <v>279</v>
      </c>
      <c r="C5" t="s">
        <v>280</v>
      </c>
      <c r="D5" t="s">
        <v>265</v>
      </c>
      <c r="E5" t="s">
        <v>266</v>
      </c>
    </row>
    <row r="6" spans="1:5" x14ac:dyDescent="0.25">
      <c r="A6" t="s">
        <v>615</v>
      </c>
      <c r="B6" t="s">
        <v>274</v>
      </c>
      <c r="C6" t="s">
        <v>281</v>
      </c>
      <c r="D6" t="s">
        <v>268</v>
      </c>
      <c r="E6" t="s">
        <v>247</v>
      </c>
    </row>
    <row r="7" spans="1:5" x14ac:dyDescent="0.25">
      <c r="A7" s="1" t="s">
        <v>269</v>
      </c>
      <c r="B7" t="s">
        <v>275</v>
      </c>
      <c r="C7" t="s">
        <v>282</v>
      </c>
      <c r="D7" t="s">
        <v>270</v>
      </c>
      <c r="E7" t="s">
        <v>247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Total</vt:lpstr>
      <vt:lpstr>Wild enriched MetaG</vt:lpstr>
      <vt:lpstr>Sheet1</vt:lpstr>
      <vt:lpstr>Sheet2</vt:lpstr>
      <vt:lpstr>Wild depleted MetaG</vt:lpstr>
      <vt:lpstr>Wild unregulated HostT</vt:lpstr>
      <vt:lpstr>Wild downregulated HostT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2026-04-18T11:14:52Z</dcterms:modified>
</cp:coreProperties>
</file>