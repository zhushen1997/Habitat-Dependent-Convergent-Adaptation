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G:\tree\"/>
    </mc:Choice>
  </mc:AlternateContent>
  <xr:revisionPtr revIDLastSave="0" documentId="13_ncr:1_{DB856DA0-D8C8-4D36-929D-AE68815F7565}" xr6:coauthVersionLast="47" xr6:coauthVersionMax="47" xr10:uidLastSave="{00000000-0000-0000-0000-000000000000}"/>
  <bookViews>
    <workbookView xWindow="-108" yWindow="408" windowWidth="46296" windowHeight="24900" xr2:uid="{00000000-000D-0000-FFFF-FFFF00000000}"/>
  </bookViews>
  <sheets>
    <sheet name="Sheet2" sheetId="2" r:id="rId1"/>
    <sheet name="Sheet1" sheetId="1" r:id="rId2"/>
  </sheets>
  <definedNames>
    <definedName name="_xlnm._FilterDatabase" localSheetId="1" hidden="1">Sheet1!$A$1:$H$1579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05" i="1" l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32" i="1"/>
  <c r="B33" i="1"/>
  <c r="B34" i="1"/>
  <c r="B35" i="1"/>
  <c r="B541" i="1"/>
  <c r="B542" i="1"/>
  <c r="B543" i="1"/>
  <c r="B553" i="1"/>
  <c r="B554" i="1"/>
  <c r="B555" i="1"/>
  <c r="B556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1222" i="1"/>
  <c r="B1223" i="1"/>
  <c r="B1232" i="1"/>
  <c r="B1233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322" i="1"/>
  <c r="B1349" i="1"/>
  <c r="B1350" i="1"/>
  <c r="B1359" i="1"/>
  <c r="B1360" i="1"/>
  <c r="B1361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542" i="1"/>
  <c r="B1543" i="1"/>
  <c r="B1551" i="1"/>
  <c r="B1552" i="1"/>
  <c r="B1553" i="1"/>
  <c r="B2" i="1"/>
  <c r="B3" i="1"/>
  <c r="B4" i="1"/>
  <c r="B5" i="1"/>
  <c r="B6" i="1"/>
  <c r="B7" i="1"/>
  <c r="B8" i="1"/>
  <c r="B9" i="1"/>
  <c r="B10" i="1"/>
  <c r="B11" i="1"/>
  <c r="B12" i="1"/>
  <c r="B13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532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544" i="1"/>
  <c r="B545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1214" i="1"/>
  <c r="B1216" i="1"/>
  <c r="B1217" i="1"/>
  <c r="B1224" i="1"/>
  <c r="B1225" i="1"/>
  <c r="B1226" i="1"/>
  <c r="B1227" i="1"/>
  <c r="B1228" i="1"/>
  <c r="B1229" i="1"/>
  <c r="B1234" i="1"/>
  <c r="B1260" i="1"/>
  <c r="B1261" i="1"/>
  <c r="B1262" i="1"/>
  <c r="B1323" i="1"/>
  <c r="B1324" i="1"/>
  <c r="B1325" i="1"/>
  <c r="B1326" i="1"/>
  <c r="B1336" i="1"/>
  <c r="B1340" i="1"/>
  <c r="B1341" i="1"/>
  <c r="B1342" i="1"/>
  <c r="B1343" i="1"/>
  <c r="B1358" i="1"/>
  <c r="B1362" i="1"/>
  <c r="B1363" i="1"/>
  <c r="B1364" i="1"/>
  <c r="B1365" i="1"/>
  <c r="B1366" i="1"/>
  <c r="B1402" i="1"/>
  <c r="B1403" i="1"/>
  <c r="B1404" i="1"/>
  <c r="B1405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518" i="1"/>
  <c r="B1520" i="1"/>
  <c r="B1521" i="1"/>
  <c r="B1522" i="1"/>
  <c r="B1523" i="1"/>
  <c r="B1524" i="1"/>
  <c r="B1525" i="1"/>
  <c r="B1526" i="1"/>
  <c r="B1527" i="1"/>
  <c r="B1528" i="1"/>
  <c r="B1529" i="1"/>
  <c r="B1544" i="1"/>
  <c r="B1545" i="1"/>
  <c r="B1554" i="1"/>
  <c r="B1555" i="1"/>
  <c r="B1556" i="1"/>
  <c r="B1557" i="1"/>
  <c r="B1558" i="1"/>
  <c r="B1559" i="1"/>
  <c r="B1560" i="1"/>
  <c r="B1561" i="1"/>
  <c r="B1562" i="1"/>
  <c r="B1563" i="1"/>
  <c r="B14" i="1"/>
  <c r="B15" i="1"/>
  <c r="B16" i="1"/>
  <c r="B17" i="1"/>
  <c r="B18" i="1"/>
  <c r="B19" i="1"/>
  <c r="B20" i="1"/>
  <c r="B21" i="1"/>
  <c r="B22" i="1"/>
  <c r="B23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533" i="1"/>
  <c r="B534" i="1"/>
  <c r="B535" i="1"/>
  <c r="B536" i="1"/>
  <c r="B537" i="1"/>
  <c r="B538" i="1"/>
  <c r="B546" i="1"/>
  <c r="B547" i="1"/>
  <c r="B551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218" i="1"/>
  <c r="B1219" i="1"/>
  <c r="B1220" i="1"/>
  <c r="B1235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327" i="1"/>
  <c r="B1328" i="1"/>
  <c r="B1329" i="1"/>
  <c r="B1337" i="1"/>
  <c r="B1338" i="1"/>
  <c r="B1344" i="1"/>
  <c r="B1345" i="1"/>
  <c r="B1351" i="1"/>
  <c r="B1352" i="1"/>
  <c r="B1355" i="1"/>
  <c r="B1356" i="1"/>
  <c r="B1367" i="1"/>
  <c r="B1368" i="1"/>
  <c r="B1369" i="1"/>
  <c r="B1370" i="1"/>
  <c r="B1371" i="1"/>
  <c r="B1372" i="1"/>
  <c r="B1406" i="1"/>
  <c r="B1407" i="1"/>
  <c r="B1408" i="1"/>
  <c r="B1409" i="1"/>
  <c r="B1410" i="1"/>
  <c r="B1411" i="1"/>
  <c r="B1412" i="1"/>
  <c r="B1413" i="1"/>
  <c r="B1414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519" i="1"/>
  <c r="B1530" i="1"/>
  <c r="B1531" i="1"/>
  <c r="B1532" i="1"/>
  <c r="B1533" i="1"/>
  <c r="B1534" i="1"/>
  <c r="B1535" i="1"/>
  <c r="B1536" i="1"/>
  <c r="B1537" i="1"/>
  <c r="B1546" i="1"/>
  <c r="B1564" i="1"/>
  <c r="B1565" i="1"/>
  <c r="B1566" i="1"/>
  <c r="B1567" i="1"/>
  <c r="B1568" i="1"/>
  <c r="B1569" i="1"/>
  <c r="B1570" i="1"/>
  <c r="B1571" i="1"/>
  <c r="B24" i="1"/>
  <c r="B25" i="1"/>
  <c r="B26" i="1"/>
  <c r="B27" i="1"/>
  <c r="B28" i="1"/>
  <c r="B29" i="1"/>
  <c r="B30" i="1"/>
  <c r="B31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9" i="1"/>
  <c r="B540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548" i="1"/>
  <c r="B549" i="1"/>
  <c r="B550" i="1"/>
  <c r="B55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5" i="1"/>
  <c r="B1221" i="1"/>
  <c r="B1230" i="1"/>
  <c r="B1231" i="1"/>
  <c r="B1236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30" i="1"/>
  <c r="B1331" i="1"/>
  <c r="B1332" i="1"/>
  <c r="B1333" i="1"/>
  <c r="B1334" i="1"/>
  <c r="B1335" i="1"/>
  <c r="B1339" i="1"/>
  <c r="B1346" i="1"/>
  <c r="B1347" i="1"/>
  <c r="B1348" i="1"/>
  <c r="B1353" i="1"/>
  <c r="B1354" i="1"/>
  <c r="B1357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415" i="1"/>
  <c r="B1416" i="1"/>
  <c r="B1417" i="1"/>
  <c r="B1418" i="1"/>
  <c r="B1419" i="1"/>
  <c r="B1420" i="1"/>
  <c r="B1421" i="1"/>
  <c r="B1422" i="1"/>
  <c r="B1423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38" i="1"/>
  <c r="B1539" i="1"/>
  <c r="B1540" i="1"/>
  <c r="B1541" i="1"/>
  <c r="B1547" i="1"/>
  <c r="B1548" i="1"/>
  <c r="B1549" i="1"/>
  <c r="B1550" i="1"/>
  <c r="B1572" i="1"/>
  <c r="B1573" i="1"/>
  <c r="B1574" i="1"/>
  <c r="B1575" i="1"/>
  <c r="B1576" i="1"/>
  <c r="B1577" i="1"/>
  <c r="B1578" i="1"/>
  <c r="B1579" i="1"/>
  <c r="B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32" i="1"/>
  <c r="E33" i="1"/>
  <c r="E34" i="1"/>
  <c r="E35" i="1"/>
  <c r="E541" i="1"/>
  <c r="E542" i="1"/>
  <c r="E543" i="1"/>
  <c r="E553" i="1"/>
  <c r="E554" i="1"/>
  <c r="E555" i="1"/>
  <c r="E556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1222" i="1"/>
  <c r="E1223" i="1"/>
  <c r="E1232" i="1"/>
  <c r="E1233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322" i="1"/>
  <c r="E1349" i="1"/>
  <c r="E1350" i="1"/>
  <c r="E1359" i="1"/>
  <c r="E1360" i="1"/>
  <c r="E1361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542" i="1"/>
  <c r="E1543" i="1"/>
  <c r="E1551" i="1"/>
  <c r="E1552" i="1"/>
  <c r="E1553" i="1"/>
  <c r="E2" i="1"/>
  <c r="E3" i="1"/>
  <c r="E4" i="1"/>
  <c r="E5" i="1"/>
  <c r="E6" i="1"/>
  <c r="E7" i="1"/>
  <c r="E8" i="1"/>
  <c r="E9" i="1"/>
  <c r="E10" i="1"/>
  <c r="E11" i="1"/>
  <c r="E12" i="1"/>
  <c r="E13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532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544" i="1"/>
  <c r="E545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1214" i="1"/>
  <c r="E1216" i="1"/>
  <c r="E1217" i="1"/>
  <c r="E1224" i="1"/>
  <c r="E1225" i="1"/>
  <c r="E1226" i="1"/>
  <c r="E1227" i="1"/>
  <c r="E1228" i="1"/>
  <c r="E1229" i="1"/>
  <c r="E1234" i="1"/>
  <c r="E1260" i="1"/>
  <c r="E1261" i="1"/>
  <c r="E1262" i="1"/>
  <c r="E1323" i="1"/>
  <c r="E1324" i="1"/>
  <c r="E1325" i="1"/>
  <c r="E1326" i="1"/>
  <c r="E1336" i="1"/>
  <c r="E1340" i="1"/>
  <c r="E1341" i="1"/>
  <c r="E1342" i="1"/>
  <c r="E1343" i="1"/>
  <c r="E1358" i="1"/>
  <c r="E1362" i="1"/>
  <c r="E1363" i="1"/>
  <c r="E1364" i="1"/>
  <c r="E1365" i="1"/>
  <c r="E1366" i="1"/>
  <c r="E1402" i="1"/>
  <c r="E1403" i="1"/>
  <c r="E1404" i="1"/>
  <c r="E1405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518" i="1"/>
  <c r="E1520" i="1"/>
  <c r="E1521" i="1"/>
  <c r="E1522" i="1"/>
  <c r="E1523" i="1"/>
  <c r="E1524" i="1"/>
  <c r="E1525" i="1"/>
  <c r="E1526" i="1"/>
  <c r="E1527" i="1"/>
  <c r="E1528" i="1"/>
  <c r="E1529" i="1"/>
  <c r="E1544" i="1"/>
  <c r="E1545" i="1"/>
  <c r="E1554" i="1"/>
  <c r="E1555" i="1"/>
  <c r="E1556" i="1"/>
  <c r="E1557" i="1"/>
  <c r="E1558" i="1"/>
  <c r="E1559" i="1"/>
  <c r="E1560" i="1"/>
  <c r="E1561" i="1"/>
  <c r="E1562" i="1"/>
  <c r="E1563" i="1"/>
  <c r="E14" i="1"/>
  <c r="E15" i="1"/>
  <c r="E16" i="1"/>
  <c r="E17" i="1"/>
  <c r="E18" i="1"/>
  <c r="E19" i="1"/>
  <c r="E20" i="1"/>
  <c r="E21" i="1"/>
  <c r="E22" i="1"/>
  <c r="E23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533" i="1"/>
  <c r="E534" i="1"/>
  <c r="E535" i="1"/>
  <c r="E536" i="1"/>
  <c r="E537" i="1"/>
  <c r="E538" i="1"/>
  <c r="E546" i="1"/>
  <c r="E547" i="1"/>
  <c r="E551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218" i="1"/>
  <c r="E1219" i="1"/>
  <c r="E1220" i="1"/>
  <c r="E1235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327" i="1"/>
  <c r="E1328" i="1"/>
  <c r="E1329" i="1"/>
  <c r="E1337" i="1"/>
  <c r="E1338" i="1"/>
  <c r="E1344" i="1"/>
  <c r="E1345" i="1"/>
  <c r="E1351" i="1"/>
  <c r="E1352" i="1"/>
  <c r="E1355" i="1"/>
  <c r="E1356" i="1"/>
  <c r="E1367" i="1"/>
  <c r="E1368" i="1"/>
  <c r="E1369" i="1"/>
  <c r="E1370" i="1"/>
  <c r="E1371" i="1"/>
  <c r="E1372" i="1"/>
  <c r="E1406" i="1"/>
  <c r="E1407" i="1"/>
  <c r="E1408" i="1"/>
  <c r="E1409" i="1"/>
  <c r="E1410" i="1"/>
  <c r="E1411" i="1"/>
  <c r="E1412" i="1"/>
  <c r="E1413" i="1"/>
  <c r="E1414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519" i="1"/>
  <c r="E1530" i="1"/>
  <c r="E1531" i="1"/>
  <c r="E1532" i="1"/>
  <c r="E1533" i="1"/>
  <c r="E1534" i="1"/>
  <c r="E1535" i="1"/>
  <c r="E1536" i="1"/>
  <c r="E1537" i="1"/>
  <c r="E1546" i="1"/>
  <c r="E1564" i="1"/>
  <c r="E1565" i="1"/>
  <c r="E1566" i="1"/>
  <c r="E1567" i="1"/>
  <c r="E1568" i="1"/>
  <c r="E1569" i="1"/>
  <c r="E1570" i="1"/>
  <c r="E1571" i="1"/>
  <c r="E24" i="1"/>
  <c r="E25" i="1"/>
  <c r="E26" i="1"/>
  <c r="E27" i="1"/>
  <c r="E28" i="1"/>
  <c r="E29" i="1"/>
  <c r="E30" i="1"/>
  <c r="E31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9" i="1"/>
  <c r="E540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548" i="1"/>
  <c r="E549" i="1"/>
  <c r="E550" i="1"/>
  <c r="E55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5" i="1"/>
  <c r="E1221" i="1"/>
  <c r="E1230" i="1"/>
  <c r="E1231" i="1"/>
  <c r="E1236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30" i="1"/>
  <c r="E1331" i="1"/>
  <c r="E1332" i="1"/>
  <c r="E1333" i="1"/>
  <c r="E1334" i="1"/>
  <c r="E1335" i="1"/>
  <c r="E1339" i="1"/>
  <c r="E1346" i="1"/>
  <c r="E1347" i="1"/>
  <c r="E1348" i="1"/>
  <c r="E1353" i="1"/>
  <c r="E1354" i="1"/>
  <c r="E1357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415" i="1"/>
  <c r="E1416" i="1"/>
  <c r="E1417" i="1"/>
  <c r="E1418" i="1"/>
  <c r="E1419" i="1"/>
  <c r="E1420" i="1"/>
  <c r="E1421" i="1"/>
  <c r="E1422" i="1"/>
  <c r="E1423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38" i="1"/>
  <c r="E1539" i="1"/>
  <c r="E1540" i="1"/>
  <c r="E1541" i="1"/>
  <c r="E1547" i="1"/>
  <c r="E1548" i="1"/>
  <c r="E1549" i="1"/>
  <c r="E1550" i="1"/>
  <c r="E1572" i="1"/>
  <c r="E1573" i="1"/>
  <c r="E1574" i="1"/>
  <c r="E1575" i="1"/>
  <c r="E1576" i="1"/>
  <c r="E1577" i="1"/>
  <c r="E1578" i="1"/>
  <c r="E1579" i="1"/>
  <c r="E104" i="1"/>
</calcChain>
</file>

<file path=xl/sharedStrings.xml><?xml version="1.0" encoding="utf-8"?>
<sst xmlns="http://schemas.openxmlformats.org/spreadsheetml/2006/main" count="7908" uniqueCount="1615">
  <si>
    <t>num_seqs</t>
  </si>
  <si>
    <t>sum_len</t>
  </si>
  <si>
    <t>min_len</t>
  </si>
  <si>
    <t>avg_len</t>
  </si>
  <si>
    <t>max_len</t>
  </si>
  <si>
    <t>file</t>
  </si>
  <si>
    <t>genome_size</t>
    <phoneticPr fontId="1" type="noConversion"/>
  </si>
  <si>
    <t>Bger_bac_bin001</t>
  </si>
  <si>
    <t>Bger_bac_bin002</t>
  </si>
  <si>
    <t>Bger_bac_bin003</t>
  </si>
  <si>
    <t>Bger_bac_bin004</t>
  </si>
  <si>
    <t>Bger_bac_bin005</t>
  </si>
  <si>
    <t>Bger_bac_bin006</t>
  </si>
  <si>
    <t>Bger_bac_bin007</t>
  </si>
  <si>
    <t>Bger_bac_bin008</t>
  </si>
  <si>
    <t>Bger_bac_bin009</t>
  </si>
  <si>
    <t>Bger_bac_bin010</t>
  </si>
  <si>
    <t>Bger_bac_bin011</t>
  </si>
  <si>
    <t>Bger_bac_bin012</t>
  </si>
  <si>
    <t>Bger_bac_bin013</t>
  </si>
  <si>
    <t>Bger_bac_bin014</t>
  </si>
  <si>
    <t>Bger_bac_bin015</t>
  </si>
  <si>
    <t>Bger_bac_bin016</t>
  </si>
  <si>
    <t>Bger_bac_bin017</t>
  </si>
  <si>
    <t>Bger_bac_bin018</t>
  </si>
  <si>
    <t>Bger_bac_bin019</t>
  </si>
  <si>
    <t>Bger_bac_bin020</t>
  </si>
  <si>
    <t>Bger_bac_bin021</t>
  </si>
  <si>
    <t>Bger_bac_bin022</t>
  </si>
  <si>
    <t>Bger_bac_bin023</t>
  </si>
  <si>
    <t>Bger_bac_bin024</t>
  </si>
  <si>
    <t>Bger_bac_bin025</t>
  </si>
  <si>
    <t>Bger_bac_bin026</t>
  </si>
  <si>
    <t>Bger_bac_bin027</t>
  </si>
  <si>
    <t>Bger_bac_bin028</t>
  </si>
  <si>
    <t>Bger_bac_bin029</t>
  </si>
  <si>
    <t>Bger_bac_bin030</t>
  </si>
  <si>
    <t>Bger_bac_bin031</t>
  </si>
  <si>
    <t>Bger_bac_bin032</t>
  </si>
  <si>
    <t>Bger_bac_bin033</t>
  </si>
  <si>
    <t>Bger_bac_bin034</t>
  </si>
  <si>
    <t>Bger_bac_bin035</t>
  </si>
  <si>
    <t>Bger_bac_bin036</t>
  </si>
  <si>
    <t>Bger_bac_bin037</t>
  </si>
  <si>
    <t>Bger_bac_bin038</t>
  </si>
  <si>
    <t>Bger_bac_bin039</t>
  </si>
  <si>
    <t>Bger_bac_bin040</t>
  </si>
  <si>
    <t>Bger_bac_bin041</t>
  </si>
  <si>
    <t>Bger_bac_bin042</t>
  </si>
  <si>
    <t>Bger_bac_bin043</t>
  </si>
  <si>
    <t>Bger_bac_bin044</t>
  </si>
  <si>
    <t>Bger_bac_bin045</t>
  </si>
  <si>
    <t>Bger_bac_bin046</t>
  </si>
  <si>
    <t>Bger_bac_bin047</t>
  </si>
  <si>
    <t>Bger_bac_bin048</t>
  </si>
  <si>
    <t>Bger_bac_bin049</t>
  </si>
  <si>
    <t>Bger_bac_bin050</t>
  </si>
  <si>
    <t>Bger_bac_bin051</t>
  </si>
  <si>
    <t>Bger_bac_bin052</t>
  </si>
  <si>
    <t>Bger_bac_bin053</t>
  </si>
  <si>
    <t>Bger_bac_bin054</t>
  </si>
  <si>
    <t>Bger_bac_bin055</t>
  </si>
  <si>
    <t>Bger_bac_bin056</t>
  </si>
  <si>
    <t>Bger_bac_bin057</t>
  </si>
  <si>
    <t>Bger_bac_bin058</t>
  </si>
  <si>
    <t>Bger_bac_bin059</t>
  </si>
  <si>
    <t>Bger_bac_bin060</t>
  </si>
  <si>
    <t>Bger_bac_bin061</t>
  </si>
  <si>
    <t>Bger_bac_bin062</t>
  </si>
  <si>
    <t>Bger_bac_bin063</t>
  </si>
  <si>
    <t>Bger_bac_bin064</t>
  </si>
  <si>
    <t>Bger_bac_bin065</t>
  </si>
  <si>
    <t>Bger_bac_bin066</t>
  </si>
  <si>
    <t>Bger_bac_bin067</t>
  </si>
  <si>
    <t>Bger_bac_bin068</t>
  </si>
  <si>
    <t>Bger_bac_bin069</t>
  </si>
  <si>
    <t>Bger_bac_bin070</t>
  </si>
  <si>
    <t>Bger_bac_bin071</t>
  </si>
  <si>
    <t>Bger_bac_bin072</t>
  </si>
  <si>
    <t>Bger_bac_bin073</t>
  </si>
  <si>
    <t>Bger_bac_bin074</t>
  </si>
  <si>
    <t>Bger_bac_bin075</t>
  </si>
  <si>
    <t>Bger_bac_bin076</t>
  </si>
  <si>
    <t>Bger_bac_bin077</t>
  </si>
  <si>
    <t>Bger_bac_bin078</t>
  </si>
  <si>
    <t>Bger_bac_bin079</t>
  </si>
  <si>
    <t>Bger_bac_bin080</t>
  </si>
  <si>
    <t>Bger_bac_bin081</t>
  </si>
  <si>
    <t>Bger_bac_bin082</t>
  </si>
  <si>
    <t>Bger_bac_bin083</t>
  </si>
  <si>
    <t>Bger_bac_bin084</t>
  </si>
  <si>
    <t>Bger_bac_bin085</t>
  </si>
  <si>
    <t>Bger_bac_bin086</t>
  </si>
  <si>
    <t>Bger_bac_bin087</t>
  </si>
  <si>
    <t>Bger_bac_bin088</t>
  </si>
  <si>
    <t>Bger_bac_bin089</t>
  </si>
  <si>
    <t>Bger_bac_bin090</t>
  </si>
  <si>
    <t>Bger_bac_bin091</t>
  </si>
  <si>
    <t>Bger_bac_bin092</t>
  </si>
  <si>
    <t>Bger_bac_bin093</t>
  </si>
  <si>
    <t>Bger_bac_bin094</t>
  </si>
  <si>
    <t>Bger_bac_bin095</t>
  </si>
  <si>
    <t>Bger_bac_bin096</t>
  </si>
  <si>
    <t>Bger_bac_bin097</t>
  </si>
  <si>
    <t>Bger_bac_bin098</t>
  </si>
  <si>
    <t>Bger_bac_bin099</t>
  </si>
  <si>
    <t>Bger_bac_bin100</t>
  </si>
  <si>
    <t>Bger_bac_bin101</t>
  </si>
  <si>
    <t>Bger_bac_bin102</t>
  </si>
  <si>
    <t>Bger_bac_bin103</t>
  </si>
  <si>
    <t>Bger_bac_bin104</t>
  </si>
  <si>
    <t>Bger_bac_bin105</t>
  </si>
  <si>
    <t>Bger_bac_bin106</t>
  </si>
  <si>
    <t>Bger_bac_bin107</t>
  </si>
  <si>
    <t>Bger_bac_bin108</t>
  </si>
  <si>
    <t>Bger_bac_bin109</t>
  </si>
  <si>
    <t>Bger_bac_bin110</t>
  </si>
  <si>
    <t>Bger_bac_bin111</t>
  </si>
  <si>
    <t>Bger_bac_bin112</t>
  </si>
  <si>
    <t>Bger_bac_bin113</t>
  </si>
  <si>
    <t>Bger_bac_bin114</t>
  </si>
  <si>
    <t>Bger_bac_bin115</t>
  </si>
  <si>
    <t>Bger_bac_bin116</t>
  </si>
  <si>
    <t>Bger_bac_bin117</t>
  </si>
  <si>
    <t>Bger_bac_bin118</t>
  </si>
  <si>
    <t>Bger_bac_bin119</t>
  </si>
  <si>
    <t>Bger_bac_bin120</t>
  </si>
  <si>
    <t>Bger_bac_bin121</t>
  </si>
  <si>
    <t>Bger_bac_bin122</t>
  </si>
  <si>
    <t>Bger_bac_bin123</t>
  </si>
  <si>
    <t>Bger_bac_bin124</t>
  </si>
  <si>
    <t>Bger_bac_bin125</t>
  </si>
  <si>
    <t>Bger_bac_bin126</t>
  </si>
  <si>
    <t>Bger_bac_bin127</t>
  </si>
  <si>
    <t>Bger_bac_bin128</t>
  </si>
  <si>
    <t>Bger_bac_bin129</t>
  </si>
  <si>
    <t>Bger_bac_bin130</t>
  </si>
  <si>
    <t>Bger_bac_bin131</t>
  </si>
  <si>
    <t>Bger_bac_bin132</t>
  </si>
  <si>
    <t>Bger_bac_bin133</t>
  </si>
  <si>
    <t>Bger_bac_bin134</t>
  </si>
  <si>
    <t>Bger_bac_bin135</t>
  </si>
  <si>
    <t>Bger_bac_bin136</t>
  </si>
  <si>
    <t>Bger_bac_bin137</t>
  </si>
  <si>
    <t>Bger_bac_bin138</t>
  </si>
  <si>
    <t>Bger_bac_bin139</t>
  </si>
  <si>
    <t>Bger_bac_bin140</t>
  </si>
  <si>
    <t>Bger_bac_bin141</t>
  </si>
  <si>
    <t>Bger_bac_bin142</t>
  </si>
  <si>
    <t>Bger_bac_bin143</t>
  </si>
  <si>
    <t>Bger_bac_bin144</t>
  </si>
  <si>
    <t>Bger_bac_bin145</t>
  </si>
  <si>
    <t>Bger_bac_bin146</t>
  </si>
  <si>
    <t>Bger_bac_bin147</t>
  </si>
  <si>
    <t>Bger_bac_bin148</t>
  </si>
  <si>
    <t>Bger_bac_bin149</t>
  </si>
  <si>
    <t>Bger_bac_bin150</t>
  </si>
  <si>
    <t>Bger_bac_bin151</t>
  </si>
  <si>
    <t>Bger_bac_bin152</t>
  </si>
  <si>
    <t>Bger_bac_bin153</t>
  </si>
  <si>
    <t>Bger_bac_bin154</t>
  </si>
  <si>
    <t>Bger_bac_bin155</t>
  </si>
  <si>
    <t>Bger_bac_bin156</t>
  </si>
  <si>
    <t>Bger_bac_bin157</t>
  </si>
  <si>
    <t>Bger_bac_bin158</t>
  </si>
  <si>
    <t>Bger_bac_bin159</t>
  </si>
  <si>
    <t>Bger_bac_bin160</t>
  </si>
  <si>
    <t>Bger_bac_bin161</t>
  </si>
  <si>
    <t>Bger_bac_bin162</t>
  </si>
  <si>
    <t>Bger_bac_bin163</t>
  </si>
  <si>
    <t>Bger_bac_bin164</t>
  </si>
  <si>
    <t>Bger_bac_bin165</t>
  </si>
  <si>
    <t>Bger_bac_bin166</t>
  </si>
  <si>
    <t>Bger_bac_bin167</t>
  </si>
  <si>
    <t>Bger_bac_bin168</t>
  </si>
  <si>
    <t>Bger_bac_bin169</t>
  </si>
  <si>
    <t>Bger_bac_bin170</t>
  </si>
  <si>
    <t>Bger_bac_bin171</t>
  </si>
  <si>
    <t>Bger_bac_bin172</t>
  </si>
  <si>
    <t>Bger_bac_bin173</t>
  </si>
  <si>
    <t>Bger_bac_bin174</t>
  </si>
  <si>
    <t>Bger_bac_bin175</t>
  </si>
  <si>
    <t>Bger_bac_bin176</t>
  </si>
  <si>
    <t>Bger_bac_bin177</t>
  </si>
  <si>
    <t>Bger_bac_bin178</t>
  </si>
  <si>
    <t>Bger_bac_bin179</t>
  </si>
  <si>
    <t>Bger_bac_bin180</t>
  </si>
  <si>
    <t>Bger_bac_bin181</t>
  </si>
  <si>
    <t>Bger_bac_bin182</t>
  </si>
  <si>
    <t>Bger_bac_bin183</t>
  </si>
  <si>
    <t>Bger_bac_bin184</t>
  </si>
  <si>
    <t>Bger_bac_bin185</t>
  </si>
  <si>
    <t>Bger_bac_bin186</t>
  </si>
  <si>
    <t>Bger_bac_bin187</t>
  </si>
  <si>
    <t>Bger_bac_bin188</t>
  </si>
  <si>
    <t>Bger_bac_bin189</t>
  </si>
  <si>
    <t>Bger_bac_bin190</t>
  </si>
  <si>
    <t>Bger_bac_bin191</t>
  </si>
  <si>
    <t>Bger_bac_bin192</t>
  </si>
  <si>
    <t>Bger_bac_bin193</t>
  </si>
  <si>
    <t>Bger_bac_bin194</t>
  </si>
  <si>
    <t>Bger_bac_bin195</t>
  </si>
  <si>
    <t>Bger_bac_bin196</t>
  </si>
  <si>
    <t>Bger_bac_bin197</t>
  </si>
  <si>
    <t>Bger_bac_bin198</t>
  </si>
  <si>
    <t>Bger_bac_bin199</t>
  </si>
  <si>
    <t>Bger_bac_bin200</t>
  </si>
  <si>
    <t>Bger_bac_bin201</t>
  </si>
  <si>
    <t>Bger_bac_bin202</t>
  </si>
  <si>
    <t>Bger_bac_bin203</t>
  </si>
  <si>
    <t>Bger_bac_bin204</t>
  </si>
  <si>
    <t>Bger_bac_bin205</t>
  </si>
  <si>
    <t>Bger_bac_bin206</t>
  </si>
  <si>
    <t>Bger_bac_bin207</t>
  </si>
  <si>
    <t>Bger_bac_bin208</t>
  </si>
  <si>
    <t>Bger_bac_bin209</t>
  </si>
  <si>
    <t>Bger_bac_bin210</t>
  </si>
  <si>
    <t>Bger_bac_bin211</t>
  </si>
  <si>
    <t>Bger_bac_bin212</t>
  </si>
  <si>
    <t>Bger_bac_bin213</t>
  </si>
  <si>
    <t>Bger_bac_bin214</t>
  </si>
  <si>
    <t>Bger_bac_bin215</t>
  </si>
  <si>
    <t>Bger_bac_bin216</t>
  </si>
  <si>
    <t>Bger_bac_bin217</t>
  </si>
  <si>
    <t>Bger_bac_bin218</t>
  </si>
  <si>
    <t>Esin_bac_bin001</t>
  </si>
  <si>
    <t>Esin_bac_bin002</t>
  </si>
  <si>
    <t>Esin_bac_bin003</t>
  </si>
  <si>
    <t>Esin_bac_bin004</t>
  </si>
  <si>
    <t>Esin_bac_bin005</t>
  </si>
  <si>
    <t>Esin_bac_bin006</t>
  </si>
  <si>
    <t>Esin_bac_bin007</t>
  </si>
  <si>
    <t>Esin_bac_bin008</t>
  </si>
  <si>
    <t>Esin_bac_bin009</t>
  </si>
  <si>
    <t>Esin_bac_bin010</t>
  </si>
  <si>
    <t>Esin_bac_bin011</t>
  </si>
  <si>
    <t>Esin_bac_bin012</t>
  </si>
  <si>
    <t>Esin_bac_bin013</t>
  </si>
  <si>
    <t>Esin_bac_bin014</t>
  </si>
  <si>
    <t>Esin_bac_bin015</t>
  </si>
  <si>
    <t>Esin_bac_bin016</t>
  </si>
  <si>
    <t>Esin_bac_bin017</t>
  </si>
  <si>
    <t>Esin_bac_bin018</t>
  </si>
  <si>
    <t>Esin_bac_bin019</t>
  </si>
  <si>
    <t>Esin_bac_bin020</t>
  </si>
  <si>
    <t>Esin_bac_bin021</t>
  </si>
  <si>
    <t>Esin_bac_bin022</t>
  </si>
  <si>
    <t>Esin_bac_bin023</t>
  </si>
  <si>
    <t>Esin_bac_bin024</t>
  </si>
  <si>
    <t>Esin_bac_bin025</t>
  </si>
  <si>
    <t>Esin_bac_bin026</t>
  </si>
  <si>
    <t>Esin_bac_bin027</t>
  </si>
  <si>
    <t>Esin_bac_bin028</t>
  </si>
  <si>
    <t>Esin_bac_bin029</t>
  </si>
  <si>
    <t>Esin_bac_bin030</t>
  </si>
  <si>
    <t>Esin_bac_bin031</t>
  </si>
  <si>
    <t>Esin_bac_bin032</t>
  </si>
  <si>
    <t>Esin_bac_bin033</t>
  </si>
  <si>
    <t>Esin_bac_bin034</t>
  </si>
  <si>
    <t>Esin_bac_bin035</t>
  </si>
  <si>
    <t>Esin_bac_bin036</t>
  </si>
  <si>
    <t>Esin_bac_bin037</t>
  </si>
  <si>
    <t>Esin_bac_bin038</t>
  </si>
  <si>
    <t>Esin_bac_bin039</t>
  </si>
  <si>
    <t>Esin_bac_bin040</t>
  </si>
  <si>
    <t>Esin_bac_bin041</t>
  </si>
  <si>
    <t>Esin_bac_bin042</t>
  </si>
  <si>
    <t>Esin_bac_bin043</t>
  </si>
  <si>
    <t>Esin_bac_bin044</t>
  </si>
  <si>
    <t>Esin_bac_bin045</t>
  </si>
  <si>
    <t>Esin_bac_bin046</t>
  </si>
  <si>
    <t>Esin_bac_bin047</t>
  </si>
  <si>
    <t>Esin_bac_bin048</t>
  </si>
  <si>
    <t>Esin_bac_bin049</t>
  </si>
  <si>
    <t>Esin_bac_bin050</t>
  </si>
  <si>
    <t>Esin_bac_bin051</t>
  </si>
  <si>
    <t>Esin_bac_bin052</t>
  </si>
  <si>
    <t>Esin_bac_bin053</t>
  </si>
  <si>
    <t>Esin_bac_bin054</t>
  </si>
  <si>
    <t>Esin_bac_bin055</t>
  </si>
  <si>
    <t>Esin_bac_bin056</t>
  </si>
  <si>
    <t>Esin_bac_bin057</t>
  </si>
  <si>
    <t>Esin_bac_bin058</t>
  </si>
  <si>
    <t>Esin_bac_bin059</t>
  </si>
  <si>
    <t>Esin_bac_bin060</t>
  </si>
  <si>
    <t>Esin_bac_bin061</t>
  </si>
  <si>
    <t>Esin_bac_bin062</t>
  </si>
  <si>
    <t>Esin_bac_bin063</t>
  </si>
  <si>
    <t>Esin_bac_bin064</t>
  </si>
  <si>
    <t>Esin_bac_bin065</t>
  </si>
  <si>
    <t>Esin_bac_bin066</t>
  </si>
  <si>
    <t>Esin_bac_bin067</t>
  </si>
  <si>
    <t>Esin_bac_bin068</t>
  </si>
  <si>
    <t>Esin_bac_bin069</t>
  </si>
  <si>
    <t>Esin_bac_bin070</t>
  </si>
  <si>
    <t>Esin_bac_bin071</t>
  </si>
  <si>
    <t>Esin_bac_bin072</t>
  </si>
  <si>
    <t>Esin_bac_bin073</t>
  </si>
  <si>
    <t>Esin_bac_bin074</t>
  </si>
  <si>
    <t>Esin_bac_bin075</t>
  </si>
  <si>
    <t>Esin_bac_bin076</t>
  </si>
  <si>
    <t>Esin_bac_bin077</t>
  </si>
  <si>
    <t>Esin_bac_bin078</t>
  </si>
  <si>
    <t>Esin_bac_bin079</t>
  </si>
  <si>
    <t>Esin_bac_bin080</t>
  </si>
  <si>
    <t>Esin_bac_bin081</t>
  </si>
  <si>
    <t>Esin_bac_bin082</t>
  </si>
  <si>
    <t>Esin_bac_bin083</t>
  </si>
  <si>
    <t>Esin_bac_bin084</t>
  </si>
  <si>
    <t>Esin_bac_bin085</t>
  </si>
  <si>
    <t>Esin_bac_bin086</t>
  </si>
  <si>
    <t>Esin_bac_bin087</t>
  </si>
  <si>
    <t>Esin_bac_bin088</t>
  </si>
  <si>
    <t>Esin_bac_bin089</t>
  </si>
  <si>
    <t>Esin_bac_bin090</t>
  </si>
  <si>
    <t>Esin_bac_bin091</t>
  </si>
  <si>
    <t>Esin_bac_bin092</t>
  </si>
  <si>
    <t>Esin_bac_bin093</t>
  </si>
  <si>
    <t>Esin_bac_bin094</t>
  </si>
  <si>
    <t>Esin_bac_bin095</t>
  </si>
  <si>
    <t>Esin_bac_bin096</t>
  </si>
  <si>
    <t>Esin_bac_bin097</t>
  </si>
  <si>
    <t>Esin_bac_bin098</t>
  </si>
  <si>
    <t>Esin_bac_bin099</t>
  </si>
  <si>
    <t>Esin_bac_bin100</t>
  </si>
  <si>
    <t>Esin_bac_bin101</t>
  </si>
  <si>
    <t>Esin_bac_bin102</t>
  </si>
  <si>
    <t>Esin_bac_bin103</t>
  </si>
  <si>
    <t>Esin_bac_bin104</t>
  </si>
  <si>
    <t>Esin_bac_bin105</t>
  </si>
  <si>
    <t>Esin_bac_bin106</t>
  </si>
  <si>
    <t>Esin_bac_bin107</t>
  </si>
  <si>
    <t>Esin_bac_bin108</t>
  </si>
  <si>
    <t>Esin_bac_bin109</t>
  </si>
  <si>
    <t>Esin_bac_bin110</t>
  </si>
  <si>
    <t>Esin_bac_bin111</t>
  </si>
  <si>
    <t>Esin_bac_bin112</t>
  </si>
  <si>
    <t>Esin_bac_bin113</t>
  </si>
  <si>
    <t>Esin_bac_bin114</t>
  </si>
  <si>
    <t>Esin_bac_bin115</t>
  </si>
  <si>
    <t>Esin_bac_bin116</t>
  </si>
  <si>
    <t>Esin_bac_bin117</t>
  </si>
  <si>
    <t>Esin_bac_bin118</t>
  </si>
  <si>
    <t>Esin_bac_bin119</t>
  </si>
  <si>
    <t>Esin_bac_bin120</t>
  </si>
  <si>
    <t>Esin_bac_bin121</t>
  </si>
  <si>
    <t>Esin_bac_bin122</t>
  </si>
  <si>
    <t>Esin_bac_bin123</t>
  </si>
  <si>
    <t>Esin_bac_bin124</t>
  </si>
  <si>
    <t>Esin_bac_bin125</t>
  </si>
  <si>
    <t>Esin_bac_bin126</t>
  </si>
  <si>
    <t>Esin_bac_bin127</t>
  </si>
  <si>
    <t>Esin_bac_bin128</t>
  </si>
  <si>
    <t>Esin_bac_bin129</t>
  </si>
  <si>
    <t>Esin_bac_bin130</t>
  </si>
  <si>
    <t>Esin_bac_bin131</t>
  </si>
  <si>
    <t>Esin_bac_bin132</t>
  </si>
  <si>
    <t>Esin_bac_bin133</t>
  </si>
  <si>
    <t>Esin_bac_bin134</t>
  </si>
  <si>
    <t>Esin_bac_bin135</t>
  </si>
  <si>
    <t>Esin_bac_bin136</t>
  </si>
  <si>
    <t>Esin_bac_bin137</t>
  </si>
  <si>
    <t>Esin_bac_bin138</t>
  </si>
  <si>
    <t>Esin_bac_bin139</t>
  </si>
  <si>
    <t>Esin_bac_bin140</t>
  </si>
  <si>
    <t>Esin_bac_bin141</t>
  </si>
  <si>
    <t>Esin_bac_bin142</t>
  </si>
  <si>
    <t>Esin_bac_bin143</t>
  </si>
  <si>
    <t>Esin_bac_bin144</t>
  </si>
  <si>
    <t>Esin_bac_bin145</t>
  </si>
  <si>
    <t>Esin_bac_bin146</t>
  </si>
  <si>
    <t>Esin_bac_bin147</t>
  </si>
  <si>
    <t>Esin_bac_bin148</t>
  </si>
  <si>
    <t>Esin_bac_bin149</t>
  </si>
  <si>
    <t>Esin_bac_bin150</t>
  </si>
  <si>
    <t>Esin_bac_bin151</t>
  </si>
  <si>
    <t>Esin_bac_bin152</t>
  </si>
  <si>
    <t>Esin_bac_bin153</t>
  </si>
  <si>
    <t>Esin_bac_bin154</t>
  </si>
  <si>
    <t>Esin_bac_bin155</t>
  </si>
  <si>
    <t>Esin_bac_bin156</t>
  </si>
  <si>
    <t>Esin_bac_bin157</t>
  </si>
  <si>
    <t>Esin_bac_bin158</t>
  </si>
  <si>
    <t>Esin_bac_bin159</t>
  </si>
  <si>
    <t>Esin_bac_bin160</t>
  </si>
  <si>
    <t>Esin_bac_bin161</t>
  </si>
  <si>
    <t>Esin_bac_bin162</t>
  </si>
  <si>
    <t>Esin_bac_bin163</t>
  </si>
  <si>
    <t>Esin_bac_bin164</t>
  </si>
  <si>
    <t>Esin_bac_bin165</t>
  </si>
  <si>
    <t>Esin_bac_bin166</t>
  </si>
  <si>
    <t>Esin_bac_bin167</t>
  </si>
  <si>
    <t>Esin_bac_bin168</t>
  </si>
  <si>
    <t>Esin_bac_bin169</t>
  </si>
  <si>
    <t>Esin_bac_bin170</t>
  </si>
  <si>
    <t>Esin_bac_bin171</t>
  </si>
  <si>
    <t>Esin_bac_bin172</t>
  </si>
  <si>
    <t>Esin_bac_bin173</t>
  </si>
  <si>
    <t>Esin_bac_bin174</t>
  </si>
  <si>
    <t>Esin_bac_bin175</t>
  </si>
  <si>
    <t>Esin_bac_bin176</t>
  </si>
  <si>
    <t>Esin_bac_bin177</t>
  </si>
  <si>
    <t>Esin_bac_bin178</t>
  </si>
  <si>
    <t>Esin_bac_bin179</t>
  </si>
  <si>
    <t>Esin_bac_bin180</t>
  </si>
  <si>
    <t>Esin_bac_bin181</t>
  </si>
  <si>
    <t>Esin_bac_bin182</t>
  </si>
  <si>
    <t>Esin_bac_bin183</t>
  </si>
  <si>
    <t>Esin_bac_bin184</t>
  </si>
  <si>
    <t>Esin_bac_bin185</t>
  </si>
  <si>
    <t>Esin_bac_bin186</t>
  </si>
  <si>
    <t>Esin_bac_bin187</t>
  </si>
  <si>
    <t>Esin_bac_bin188</t>
  </si>
  <si>
    <t>Esin_bac_bin189</t>
  </si>
  <si>
    <t>Esin_bac_bin190</t>
  </si>
  <si>
    <t>Esin_bac_bin191</t>
  </si>
  <si>
    <t>Esin_bac_bin192</t>
  </si>
  <si>
    <t>Esin_bac_bin193</t>
  </si>
  <si>
    <t>Esin_bac_bin194</t>
  </si>
  <si>
    <t>Esin_bac_bin195</t>
  </si>
  <si>
    <t>Esin_bac_bin196</t>
  </si>
  <si>
    <t>Esin_bac_bin197</t>
  </si>
  <si>
    <t>Esin_bac_bin198</t>
  </si>
  <si>
    <t>Esin_bac_bin199</t>
  </si>
  <si>
    <t>Esin_bac_bin200</t>
  </si>
  <si>
    <t>Esin_bac_bin201</t>
  </si>
  <si>
    <t>Esin_bac_bin202</t>
  </si>
  <si>
    <t>Esin_bac_bin203</t>
  </si>
  <si>
    <t>Esin_bac_bin204</t>
  </si>
  <si>
    <t>Esin_bac_bin205</t>
  </si>
  <si>
    <t>Esin_bac_bin206</t>
  </si>
  <si>
    <t>Esin_bac_bin207</t>
  </si>
  <si>
    <t>Esin_bac_bin208</t>
  </si>
  <si>
    <t>Esin_bac_bin209</t>
  </si>
  <si>
    <t>Esin_bac_bin210</t>
  </si>
  <si>
    <t>Esin_bac_bin211</t>
  </si>
  <si>
    <t>Esin_bac_bin212</t>
  </si>
  <si>
    <t>Esin_bac_bin213</t>
  </si>
  <si>
    <t>Esin_bac_bin214</t>
  </si>
  <si>
    <t>Esin_bac_bin215</t>
  </si>
  <si>
    <t>Esin_bac_bin216</t>
  </si>
  <si>
    <t>Esin_bac_bin217</t>
  </si>
  <si>
    <t>Esin_bac_bin218</t>
  </si>
  <si>
    <t>Esin_bac_bin219</t>
  </si>
  <si>
    <t>Esin_bac_bin220</t>
  </si>
  <si>
    <t>Esin_bac_bin221</t>
  </si>
  <si>
    <t>Esin_bac_bin222</t>
  </si>
  <si>
    <t>Esin_bac_bin223</t>
  </si>
  <si>
    <t>Esin_bac_bin224</t>
  </si>
  <si>
    <t>Esin_bac_bin225</t>
  </si>
  <si>
    <t>Esin_bac_bin226</t>
  </si>
  <si>
    <t>Esin_bac_bin227</t>
  </si>
  <si>
    <t>Esin_bac_bin228</t>
  </si>
  <si>
    <t>Esin_bac_bin229</t>
  </si>
  <si>
    <t>Esin_bac_bin230</t>
  </si>
  <si>
    <t>Esin_bac_bin231</t>
  </si>
  <si>
    <t>Esin_bac_bin232</t>
  </si>
  <si>
    <t>Esin_bac_bin233</t>
  </si>
  <si>
    <t>Esin_bac_bin234</t>
  </si>
  <si>
    <t>Esin_bac_bin235</t>
  </si>
  <si>
    <t>Esin_bac_bin236</t>
  </si>
  <si>
    <t>Esin_bac_bin237</t>
  </si>
  <si>
    <t>Esin_bac_bin238</t>
  </si>
  <si>
    <t>Esin_bac_bin239</t>
  </si>
  <si>
    <t>Esin_bac_bin240</t>
  </si>
  <si>
    <t>Esin_bac_bin241</t>
  </si>
  <si>
    <t>Esin_bac_bin242</t>
  </si>
  <si>
    <t>Esin_bac_bin243</t>
  </si>
  <si>
    <t>Esin_bac_bin244</t>
  </si>
  <si>
    <t>Esin_bac_bin245</t>
  </si>
  <si>
    <t>Esin_bac_bin246</t>
  </si>
  <si>
    <t>Esin_bac_bin247</t>
  </si>
  <si>
    <t>Esin_bac_bin248</t>
  </si>
  <si>
    <t>Esin_bac_bin249</t>
  </si>
  <si>
    <t>Esin_bac_bin250</t>
  </si>
  <si>
    <t>Esin_bac_bin251</t>
  </si>
  <si>
    <t>Esin_bac_bin252</t>
  </si>
  <si>
    <t>Esin_bac_bin253</t>
  </si>
  <si>
    <t>Esin_bac_bin254</t>
  </si>
  <si>
    <t>Esin_bac_bin255</t>
  </si>
  <si>
    <t>Esin_bac_bin256</t>
  </si>
  <si>
    <t>Esin_bac_bin257</t>
  </si>
  <si>
    <t>Esin_bac_bin258</t>
  </si>
  <si>
    <t>Esin_bac_bin259</t>
  </si>
  <si>
    <t>Esin_bac_bin260</t>
  </si>
  <si>
    <t>Esin_bac_bin261</t>
  </si>
  <si>
    <t>Esin_bac_bin262</t>
  </si>
  <si>
    <t>Esin_bac_bin263</t>
  </si>
  <si>
    <t>Esin_bac_bin264</t>
  </si>
  <si>
    <t>Esin_bac_bin265</t>
  </si>
  <si>
    <t>Esin_bac_bin266</t>
  </si>
  <si>
    <t>Esin_bac_bin267</t>
  </si>
  <si>
    <t>Esin_bac_bin268</t>
  </si>
  <si>
    <t>Esin_bac_bin269</t>
  </si>
  <si>
    <t>Esin_bac_bin270</t>
  </si>
  <si>
    <t>Esin_bac_bin271</t>
  </si>
  <si>
    <t>Esin_bac_bin272</t>
  </si>
  <si>
    <t>Esin_bac_bin273</t>
  </si>
  <si>
    <t>Esin_bac_bin274</t>
  </si>
  <si>
    <t>Esin_bac_bin275</t>
  </si>
  <si>
    <t>Esin_bac_bin276</t>
  </si>
  <si>
    <t>Esin_bac_bin277</t>
  </si>
  <si>
    <t>Esin_bac_bin278</t>
  </si>
  <si>
    <t>Esin_bac_bin279</t>
  </si>
  <si>
    <t>Esin_bac_bin280</t>
  </si>
  <si>
    <t>Esin_bac_bin281</t>
  </si>
  <si>
    <t>Esin_bac_bin282</t>
  </si>
  <si>
    <t>Esin_bac_bin283</t>
  </si>
  <si>
    <t>Esin_bac_bin284</t>
  </si>
  <si>
    <t>Esin_bac_bin285</t>
  </si>
  <si>
    <t>Esin_bac_bin286</t>
  </si>
  <si>
    <t>Esin_bac_bin287</t>
  </si>
  <si>
    <t>Esin_bac_bin288</t>
  </si>
  <si>
    <t>Esin_bac_bin289</t>
  </si>
  <si>
    <t>Esin_bac_bin290</t>
  </si>
  <si>
    <t>Esin_bac_bin291</t>
  </si>
  <si>
    <t>Esin_bac_bin292</t>
  </si>
  <si>
    <t>Esin_bac_bin293</t>
  </si>
  <si>
    <t>Esin_bac_bin294</t>
  </si>
  <si>
    <t>Esin_bac_bin295</t>
  </si>
  <si>
    <t>Esin_bac_bin296</t>
  </si>
  <si>
    <t>Esin_bac_bin297</t>
  </si>
  <si>
    <t>Esin_bac_bin298</t>
  </si>
  <si>
    <t>Esin_bac_bin299</t>
  </si>
  <si>
    <t>Esin_bac_bin300</t>
  </si>
  <si>
    <t>Esin_bac_bin301</t>
  </si>
  <si>
    <t>Esin_bac_bin302</t>
  </si>
  <si>
    <t>Esin_bac_bin303</t>
  </si>
  <si>
    <t>Esin_bac_bin304</t>
  </si>
  <si>
    <t>Esin_bac_bin305</t>
  </si>
  <si>
    <t>Esin_bac_bin306</t>
  </si>
  <si>
    <t>Esin_bac_bin307</t>
  </si>
  <si>
    <t>Esin_bac_bin308</t>
  </si>
  <si>
    <t>Esin_bac_bin309</t>
  </si>
  <si>
    <t>Esin_bac_bin310</t>
  </si>
  <si>
    <t>Esin_bac_bin311</t>
  </si>
  <si>
    <t>Esin_bac_bin312</t>
  </si>
  <si>
    <t>Esin_bac_bin313</t>
  </si>
  <si>
    <t>Esin_bac_bin314</t>
  </si>
  <si>
    <t>Esin_bac_bin315</t>
  </si>
  <si>
    <t>Esin_bac_bin316</t>
  </si>
  <si>
    <t>Esin_bac_bin317</t>
  </si>
  <si>
    <t>Esin_bac_bin318</t>
  </si>
  <si>
    <t>Esin_bac_bin319</t>
  </si>
  <si>
    <t>Esin_bac_bin320</t>
  </si>
  <si>
    <t>Esin_bac_bin321</t>
  </si>
  <si>
    <t>Esin_bac_bin322</t>
  </si>
  <si>
    <t>Esin_bac_bin323</t>
  </si>
  <si>
    <t>Esin_bac_bin324</t>
  </si>
  <si>
    <t>Esin_bac_bin325</t>
  </si>
  <si>
    <t>Esin_bac_bin326</t>
  </si>
  <si>
    <t>Esin_bac_bin327</t>
  </si>
  <si>
    <t>Esin_bac_bin328</t>
  </si>
  <si>
    <t>Esin_bac_bin329</t>
  </si>
  <si>
    <t>Esin_bac_bin330</t>
  </si>
  <si>
    <t>Esin_bac_bin331</t>
  </si>
  <si>
    <t>Esin_bac_bin332</t>
  </si>
  <si>
    <t>Esin_bac_bin333</t>
  </si>
  <si>
    <t>Esin_bac_bin334</t>
  </si>
  <si>
    <t>Esin_bac_bin335</t>
  </si>
  <si>
    <t>Esin_bac_bin336</t>
  </si>
  <si>
    <t>Esin_bac_bin337</t>
  </si>
  <si>
    <t>Esin_bac_bin338</t>
  </si>
  <si>
    <t>Esin_bac_bin339</t>
  </si>
  <si>
    <t>Esin_bac_bin340</t>
  </si>
  <si>
    <t>Esin_bac_bin341</t>
  </si>
  <si>
    <t>Esin_bac_bin342</t>
  </si>
  <si>
    <t>Esin_bac_bin343</t>
  </si>
  <si>
    <t>Esin_bac_bin344</t>
  </si>
  <si>
    <t>Esin_bac_bin345</t>
  </si>
  <si>
    <t>Esin_bac_bin346</t>
  </si>
  <si>
    <t>Esin_bac_bin347</t>
  </si>
  <si>
    <t>Esin_bac_bin348</t>
  </si>
  <si>
    <t>Esin_bac_bin349</t>
  </si>
  <si>
    <t>Esin_bac_bin350</t>
  </si>
  <si>
    <t>Esin_bac_bin351</t>
  </si>
  <si>
    <t>Esin_bac_bin352</t>
  </si>
  <si>
    <t>Esin_bac_bin353</t>
  </si>
  <si>
    <t>Esin_bac_bin354</t>
  </si>
  <si>
    <t>Esin_bac_bin355</t>
  </si>
  <si>
    <t>Esin_bac_bin356</t>
  </si>
  <si>
    <t>Esin_bac_bin357</t>
  </si>
  <si>
    <t>Esin_bac_bin358</t>
  </si>
  <si>
    <t>Esin_bac_bin359</t>
  </si>
  <si>
    <t>Esin_bac_bin360</t>
  </si>
  <si>
    <t>Esin_bac_bin361</t>
  </si>
  <si>
    <t>Esin_bac_bin362</t>
  </si>
  <si>
    <t>Esin_bac_bin363</t>
  </si>
  <si>
    <t>Esin_bac_bin364</t>
  </si>
  <si>
    <t>Esin_bac_bin365</t>
  </si>
  <si>
    <t>Esin_bac_bin366</t>
  </si>
  <si>
    <t>Esin_bac_bin367</t>
  </si>
  <si>
    <t>Esin_bac_bin368</t>
  </si>
  <si>
    <t>Esin_bac_bin369</t>
  </si>
  <si>
    <t>Esin_bac_bin370</t>
  </si>
  <si>
    <t>Esin_bac_bin371</t>
  </si>
  <si>
    <t>Esin_bac_bin372</t>
  </si>
  <si>
    <t>Esin_bac_bin373</t>
  </si>
  <si>
    <t>Esin_bac_bin374</t>
  </si>
  <si>
    <t>Esin_bac_bin375</t>
  </si>
  <si>
    <t>Esin_bac_bin376</t>
  </si>
  <si>
    <t>Esin_bac_bin377</t>
  </si>
  <si>
    <t>Esin_bac_bin378</t>
  </si>
  <si>
    <t>Esin_bac_bin379</t>
  </si>
  <si>
    <t>Esin_bac_bin380</t>
  </si>
  <si>
    <t>Esin_bac_bin381</t>
  </si>
  <si>
    <t>Esin_bac_bin382</t>
  </si>
  <si>
    <t>Esin_bac_bin383</t>
  </si>
  <si>
    <t>Esin_bac_bin384</t>
  </si>
  <si>
    <t>Esin_bac_bin385</t>
  </si>
  <si>
    <t>Esin_bac_bin386</t>
  </si>
  <si>
    <t>Esin_bac_bin387</t>
  </si>
  <si>
    <t>Esin_bac_bin388</t>
  </si>
  <si>
    <t>Esin_bac_bin389</t>
  </si>
  <si>
    <t>Esin_bac_bin390</t>
  </si>
  <si>
    <t>Esin_bac_bin391</t>
  </si>
  <si>
    <t>Esin_bac_bin392</t>
  </si>
  <si>
    <t>Esin_bac_bin393</t>
  </si>
  <si>
    <t>Esin_bac_bin394</t>
  </si>
  <si>
    <t>Esin_bac_bin395</t>
  </si>
  <si>
    <t>Esin_bac_bin396</t>
  </si>
  <si>
    <t>Esin_bac_bin397</t>
  </si>
  <si>
    <t>Esin_bac_bin398</t>
  </si>
  <si>
    <t>Esin_bac_bin399</t>
  </si>
  <si>
    <t>Esin_bac_bin400</t>
  </si>
  <si>
    <t>Esin_bac_bin401</t>
  </si>
  <si>
    <t>Esin_bac_bin402</t>
  </si>
  <si>
    <t>Esin_bac_bin403</t>
  </si>
  <si>
    <t>Esin_bac_bin404</t>
  </si>
  <si>
    <t>Esin_bac_bin405</t>
  </si>
  <si>
    <t>Esin_bac_bin406</t>
  </si>
  <si>
    <t>Esin_bac_bin407</t>
  </si>
  <si>
    <t>Esin_bac_bin408</t>
  </si>
  <si>
    <t>Esin_bac_bin409</t>
  </si>
  <si>
    <t>Esin_bac_bin410</t>
  </si>
  <si>
    <t>Esin_bac_bin411</t>
  </si>
  <si>
    <t>Esin_bac_bin412</t>
  </si>
  <si>
    <t>Esin_bac_bin413</t>
  </si>
  <si>
    <t>Esin_bac_bin414</t>
  </si>
  <si>
    <t>Esin_bac_bin415</t>
  </si>
  <si>
    <t>Esin_bac_bin416</t>
  </si>
  <si>
    <t>Esin_bac_bin417</t>
  </si>
  <si>
    <t>Esin_bac_bin418</t>
  </si>
  <si>
    <t>Esin_bac_bin419</t>
  </si>
  <si>
    <t>Esin_bac_bin420</t>
  </si>
  <si>
    <t>Esin_bac_bin421</t>
  </si>
  <si>
    <t>Esin_bac_bin422</t>
  </si>
  <si>
    <t>Esin_bac_bin423</t>
  </si>
  <si>
    <t>Esin_bac_bin424</t>
  </si>
  <si>
    <t>Esin_bac_bin425</t>
  </si>
  <si>
    <t>Esin_bac_bin426</t>
  </si>
  <si>
    <t>Esin_bac_bin427</t>
  </si>
  <si>
    <t>Esin_bac_bin428</t>
  </si>
  <si>
    <t>Esin_bac_bin429</t>
  </si>
  <si>
    <t>Esin_bac_bin430</t>
  </si>
  <si>
    <t>Esin_bac_bin431</t>
  </si>
  <si>
    <t>Esin_bac_bin432</t>
  </si>
  <si>
    <t>Esin_bac_bin433</t>
  </si>
  <si>
    <t>Esin_bac_bin434</t>
  </si>
  <si>
    <t>Esin_bac_bin435</t>
  </si>
  <si>
    <t>Esin_bac_bin436</t>
  </si>
  <si>
    <t>Esin_bac_bin437</t>
  </si>
  <si>
    <t>Esin_bac_bin438</t>
  </si>
  <si>
    <t>Esin_bac_bin439</t>
  </si>
  <si>
    <t>Esin_bac_bin440</t>
  </si>
  <si>
    <t>Esin_bac_bin441</t>
  </si>
  <si>
    <t>Esin_bac_bin442</t>
  </si>
  <si>
    <t>Esin_bac_bin443</t>
  </si>
  <si>
    <t>Esin_bac_bin444</t>
  </si>
  <si>
    <t>Esin_bac_bin445</t>
  </si>
  <si>
    <t>Esin_bac_bin446</t>
  </si>
  <si>
    <t>Esin_bac_bin447</t>
  </si>
  <si>
    <t>Esin_bac_bin448</t>
  </si>
  <si>
    <t>Esin_bac_bin449</t>
  </si>
  <si>
    <t>Esin_bac_bin450</t>
  </si>
  <si>
    <t>Esin_bac_bin451</t>
  </si>
  <si>
    <t>Pame_bac_bin001</t>
  </si>
  <si>
    <t>Pame_bac_bin002</t>
  </si>
  <si>
    <t>Pame_bac_bin003</t>
  </si>
  <si>
    <t>Pame_bac_bin004</t>
  </si>
  <si>
    <t>Pame_bac_bin005</t>
  </si>
  <si>
    <t>Pame_bac_bin006</t>
  </si>
  <si>
    <t>Pame_bac_bin007</t>
  </si>
  <si>
    <t>Pame_bac_bin008</t>
  </si>
  <si>
    <t>Pame_bac_bin009</t>
  </si>
  <si>
    <t>Pame_bac_bin010</t>
  </si>
  <si>
    <t>Pame_bac_bin011</t>
  </si>
  <si>
    <t>Pame_bac_bin012</t>
  </si>
  <si>
    <t>Pame_bac_bin013</t>
  </si>
  <si>
    <t>Pame_bac_bin014</t>
  </si>
  <si>
    <t>Pame_bac_bin015</t>
  </si>
  <si>
    <t>Pame_bac_bin016</t>
  </si>
  <si>
    <t>Pame_bac_bin017</t>
  </si>
  <si>
    <t>Pame_bac_bin018</t>
  </si>
  <si>
    <t>Pame_bac_bin019</t>
  </si>
  <si>
    <t>Pame_bac_bin020</t>
  </si>
  <si>
    <t>Pame_bac_bin021</t>
  </si>
  <si>
    <t>Pame_bac_bin022</t>
  </si>
  <si>
    <t>Pame_bac_bin023</t>
  </si>
  <si>
    <t>Pame_bac_bin024</t>
  </si>
  <si>
    <t>Pame_bac_bin025</t>
  </si>
  <si>
    <t>Pame_bac_bin026</t>
  </si>
  <si>
    <t>Pame_bac_bin027</t>
  </si>
  <si>
    <t>Pame_bac_bin028</t>
  </si>
  <si>
    <t>Pame_bac_bin029</t>
  </si>
  <si>
    <t>Pame_bac_bin030</t>
  </si>
  <si>
    <t>Pame_bac_bin031</t>
  </si>
  <si>
    <t>Pame_bac_bin032</t>
  </si>
  <si>
    <t>Pame_bac_bin033</t>
  </si>
  <si>
    <t>Pame_bac_bin034</t>
  </si>
  <si>
    <t>Pame_bac_bin035</t>
  </si>
  <si>
    <t>Pame_bac_bin036</t>
  </si>
  <si>
    <t>Pame_bac_bin037</t>
  </si>
  <si>
    <t>Pame_bac_bin038</t>
  </si>
  <si>
    <t>Pame_bac_bin039</t>
  </si>
  <si>
    <t>Pame_bac_bin040</t>
  </si>
  <si>
    <t>Pame_bac_bin041</t>
  </si>
  <si>
    <t>Pame_bac_bin042</t>
  </si>
  <si>
    <t>Pame_bac_bin043</t>
  </si>
  <si>
    <t>Pame_bac_bin044</t>
  </si>
  <si>
    <t>Pame_bac_bin045</t>
  </si>
  <si>
    <t>Pame_bac_bin046</t>
  </si>
  <si>
    <t>Pame_bac_bin047</t>
  </si>
  <si>
    <t>Pame_bac_bin048</t>
  </si>
  <si>
    <t>Pame_bac_bin049</t>
  </si>
  <si>
    <t>Pame_bac_bin050</t>
  </si>
  <si>
    <t>Pame_bac_bin051</t>
  </si>
  <si>
    <t>Pame_bac_bin052</t>
  </si>
  <si>
    <t>Pame_bac_bin053</t>
  </si>
  <si>
    <t>Pame_bac_bin054</t>
  </si>
  <si>
    <t>Pame_bac_bin055</t>
  </si>
  <si>
    <t>Pame_bac_bin056</t>
  </si>
  <si>
    <t>Pame_bac_bin057</t>
  </si>
  <si>
    <t>Pame_bac_bin058</t>
  </si>
  <si>
    <t>Pame_bac_bin059</t>
  </si>
  <si>
    <t>Pame_bac_bin060</t>
  </si>
  <si>
    <t>Pame_bac_bin061</t>
  </si>
  <si>
    <t>Pame_bac_bin062</t>
  </si>
  <si>
    <t>Pame_bac_bin063</t>
  </si>
  <si>
    <t>Pame_bac_bin064</t>
  </si>
  <si>
    <t>Pame_bac_bin065</t>
  </si>
  <si>
    <t>Pame_bac_bin066</t>
  </si>
  <si>
    <t>Pame_bac_bin067</t>
  </si>
  <si>
    <t>Pame_bac_bin068</t>
  </si>
  <si>
    <t>Pame_bac_bin069</t>
  </si>
  <si>
    <t>Pame_bac_bin070</t>
  </si>
  <si>
    <t>Pame_bac_bin071</t>
  </si>
  <si>
    <t>Pame_bac_bin072</t>
  </si>
  <si>
    <t>Pame_bac_bin073</t>
  </si>
  <si>
    <t>Pame_bac_bin074</t>
  </si>
  <si>
    <t>Pame_bac_bin075</t>
  </si>
  <si>
    <t>Pame_bac_bin076</t>
  </si>
  <si>
    <t>Pame_bac_bin077</t>
  </si>
  <si>
    <t>Pame_bac_bin078</t>
  </si>
  <si>
    <t>Pame_bac_bin079</t>
  </si>
  <si>
    <t>Pame_bac_bin080</t>
  </si>
  <si>
    <t>Pame_bac_bin081</t>
  </si>
  <si>
    <t>Pame_bac_bin082</t>
  </si>
  <si>
    <t>Pame_bac_bin083</t>
  </si>
  <si>
    <t>Pame_bac_bin084</t>
  </si>
  <si>
    <t>Pame_bac_bin085</t>
  </si>
  <si>
    <t>Pame_bac_bin086</t>
  </si>
  <si>
    <t>Pame_bac_bin087</t>
  </si>
  <si>
    <t>Pame_bac_bin088</t>
  </si>
  <si>
    <t>Pame_bac_bin089</t>
  </si>
  <si>
    <t>Pame_bac_bin090</t>
  </si>
  <si>
    <t>Pame_bac_bin091</t>
  </si>
  <si>
    <t>Pame_bac_bin092</t>
  </si>
  <si>
    <t>Pame_bac_bin093</t>
  </si>
  <si>
    <t>Pame_bac_bin094</t>
  </si>
  <si>
    <t>Pame_bac_bin095</t>
  </si>
  <si>
    <t>Pame_bac_bin096</t>
  </si>
  <si>
    <t>Pame_bac_bin097</t>
  </si>
  <si>
    <t>Pame_bac_bin098</t>
  </si>
  <si>
    <t>Pame_bac_bin099</t>
  </si>
  <si>
    <t>Pame_bac_bin100</t>
  </si>
  <si>
    <t>Pame_bac_bin101</t>
  </si>
  <si>
    <t>Pame_bac_bin102</t>
  </si>
  <si>
    <t>Pame_bac_bin103</t>
  </si>
  <si>
    <t>Pame_bac_bin104</t>
  </si>
  <si>
    <t>Pame_bac_bin105</t>
  </si>
  <si>
    <t>Pame_bac_bin106</t>
  </si>
  <si>
    <t>Pame_bac_bin107</t>
  </si>
  <si>
    <t>Pame_bac_bin108</t>
  </si>
  <si>
    <t>Pame_bac_bin109</t>
  </si>
  <si>
    <t>Pame_bac_bin110</t>
  </si>
  <si>
    <t>Pame_bac_bin111</t>
  </si>
  <si>
    <t>Pame_bac_bin112</t>
  </si>
  <si>
    <t>Pame_bac_bin113</t>
  </si>
  <si>
    <t>Pame_bac_bin114</t>
  </si>
  <si>
    <t>Pame_bac_bin115</t>
  </si>
  <si>
    <t>Pame_bac_bin116</t>
  </si>
  <si>
    <t>Pame_bac_bin117</t>
  </si>
  <si>
    <t>Pame_bac_bin118</t>
  </si>
  <si>
    <t>Pame_bac_bin119</t>
  </si>
  <si>
    <t>Pame_bac_bin120</t>
  </si>
  <si>
    <t>Pame_bac_bin121</t>
  </si>
  <si>
    <t>Pame_bac_bin122</t>
  </si>
  <si>
    <t>Pame_bac_bin123</t>
  </si>
  <si>
    <t>Pame_bac_bin124</t>
  </si>
  <si>
    <t>Pame_bac_bin125</t>
  </si>
  <si>
    <t>Pame_bac_bin126</t>
  </si>
  <si>
    <t>Pame_bac_bin127</t>
  </si>
  <si>
    <t>Pame_bac_bin128</t>
  </si>
  <si>
    <t>Pame_bac_bin129</t>
  </si>
  <si>
    <t>Pame_bac_bin130</t>
  </si>
  <si>
    <t>Pame_bac_bin131</t>
  </si>
  <si>
    <t>Pame_bac_bin132</t>
  </si>
  <si>
    <t>Pame_bac_bin133</t>
  </si>
  <si>
    <t>Pame_bac_bin134</t>
  </si>
  <si>
    <t>Pame_bac_bin135</t>
  </si>
  <si>
    <t>Pame_bac_bin136</t>
  </si>
  <si>
    <t>Pame_bac_bin137</t>
  </si>
  <si>
    <t>Pame_bac_bin138</t>
  </si>
  <si>
    <t>Pame_bac_bin139</t>
  </si>
  <si>
    <t>Pame_bac_bin140</t>
  </si>
  <si>
    <t>Pame_bac_bin141</t>
  </si>
  <si>
    <t>Pame_bac_bin142</t>
  </si>
  <si>
    <t>Pame_bac_bin143</t>
  </si>
  <si>
    <t>Pame_bac_bin144</t>
  </si>
  <si>
    <t>Pame_bac_bin145</t>
  </si>
  <si>
    <t>Pame_bac_bin146</t>
  </si>
  <si>
    <t>Pame_bac_bin147</t>
  </si>
  <si>
    <t>Pame_bac_bin148</t>
  </si>
  <si>
    <t>Pame_bac_bin149</t>
  </si>
  <si>
    <t>Pame_bac_bin150</t>
  </si>
  <si>
    <t>Pame_bac_bin151</t>
  </si>
  <si>
    <t>Pame_bac_bin152</t>
  </si>
  <si>
    <t>Pame_bac_bin153</t>
  </si>
  <si>
    <t>Pame_bac_bin154</t>
  </si>
  <si>
    <t>Pame_bac_bin155</t>
  </si>
  <si>
    <t>Pame_bac_bin156</t>
  </si>
  <si>
    <t>Pame_bac_bin157</t>
  </si>
  <si>
    <t>Pame_bac_bin158</t>
  </si>
  <si>
    <t>Pame_bac_bin159</t>
  </si>
  <si>
    <t>Pame_bac_bin160</t>
  </si>
  <si>
    <t>Pame_bac_bin161</t>
  </si>
  <si>
    <t>Pame_bac_bin162</t>
  </si>
  <si>
    <t>Pame_bac_bin163</t>
  </si>
  <si>
    <t>Pame_bac_bin164</t>
  </si>
  <si>
    <t>Pame_bac_bin165</t>
  </si>
  <si>
    <t>Pame_bac_bin166</t>
  </si>
  <si>
    <t>Pame_bac_bin167</t>
  </si>
  <si>
    <t>Pame_bac_bin168</t>
  </si>
  <si>
    <t>Pame_bac_bin169</t>
  </si>
  <si>
    <t>Pame_bac_bin170</t>
  </si>
  <si>
    <t>Pame_bac_bin171</t>
  </si>
  <si>
    <t>Pame_bac_bin172</t>
  </si>
  <si>
    <t>Pame_bac_bin173</t>
  </si>
  <si>
    <t>Pame_bac_bin174</t>
  </si>
  <si>
    <t>Pame_bac_bin175</t>
  </si>
  <si>
    <t>Pame_bac_bin176</t>
  </si>
  <si>
    <t>Pame_bac_bin177</t>
  </si>
  <si>
    <t>Pame_bac_bin178</t>
  </si>
  <si>
    <t>Pame_bac_bin179</t>
  </si>
  <si>
    <t>Pame_bac_bin180</t>
  </si>
  <si>
    <t>Pame_bac_bin181</t>
  </si>
  <si>
    <t>Pame_bac_bin182</t>
  </si>
  <si>
    <t>Pame_bac_bin183</t>
  </si>
  <si>
    <t>Pame_bac_bin184</t>
  </si>
  <si>
    <t>Pame_bac_bin185</t>
  </si>
  <si>
    <t>Pame_bac_bin186</t>
  </si>
  <si>
    <t>Pame_bac_bin187</t>
  </si>
  <si>
    <t>Pame_bac_bin188</t>
  </si>
  <si>
    <t>Pame_bac_bin189</t>
  </si>
  <si>
    <t>Pame_bac_bin190</t>
  </si>
  <si>
    <t>Pame_bac_bin191</t>
  </si>
  <si>
    <t>Pame_bac_bin192</t>
  </si>
  <si>
    <t>Pame_bac_bin193</t>
  </si>
  <si>
    <t>Pame_bac_bin194</t>
  </si>
  <si>
    <t>Pame_bac_bin195</t>
  </si>
  <si>
    <t>Pame_bac_bin196</t>
  </si>
  <si>
    <t>Pame_bac_bin197</t>
  </si>
  <si>
    <t>Pame_bac_bin198</t>
  </si>
  <si>
    <t>Pame_bac_bin199</t>
  </si>
  <si>
    <t>Pame_bac_bin200</t>
  </si>
  <si>
    <t>Pame_bac_bin201</t>
  </si>
  <si>
    <t>Pame_bac_bin202</t>
  </si>
  <si>
    <t>Pame_bac_bin203</t>
  </si>
  <si>
    <t>Pame_bac_bin204</t>
  </si>
  <si>
    <t>Pame_bac_bin205</t>
  </si>
  <si>
    <t>Pame_bac_bin206</t>
  </si>
  <si>
    <t>Pame_bac_bin207</t>
  </si>
  <si>
    <t>Pame_bac_bin208</t>
  </si>
  <si>
    <t>Pame_bac_bin209</t>
  </si>
  <si>
    <t>Pame_bac_bin210</t>
  </si>
  <si>
    <t>Pame_bac_bin211</t>
  </si>
  <si>
    <t>Pame_bac_bin212</t>
  </si>
  <si>
    <t>Pame_bac_bin213</t>
  </si>
  <si>
    <t>Pame_bac_bin214</t>
  </si>
  <si>
    <t>Pame_bac_bin215</t>
  </si>
  <si>
    <t>Pame_bac_bin216</t>
  </si>
  <si>
    <t>Pame_bac_bin217</t>
  </si>
  <si>
    <t>Pame_bac_bin218</t>
  </si>
  <si>
    <t>Pame_bac_bin219</t>
  </si>
  <si>
    <t>Pame_bac_bin220</t>
  </si>
  <si>
    <t>Pame_bac_bin221</t>
  </si>
  <si>
    <t>Pame_bac_bin222</t>
  </si>
  <si>
    <t>Pame_bac_bin223</t>
  </si>
  <si>
    <t>Pame_bac_bin224</t>
  </si>
  <si>
    <t>Pame_bac_bin225</t>
  </si>
  <si>
    <t>Pame_bac_bin226</t>
  </si>
  <si>
    <t>Pame_bac_bin227</t>
  </si>
  <si>
    <t>Pame_bac_bin228</t>
  </si>
  <si>
    <t>Pame_bac_bin229</t>
  </si>
  <si>
    <t>Pame_bac_bin230</t>
  </si>
  <si>
    <t>Pame_bac_bin231</t>
  </si>
  <si>
    <t>Pame_bac_bin232</t>
  </si>
  <si>
    <t>Pame_bac_bin233</t>
  </si>
  <si>
    <t>Pame_bac_bin234</t>
  </si>
  <si>
    <t>Pame_bac_bin235</t>
  </si>
  <si>
    <t>Pame_bac_bin236</t>
  </si>
  <si>
    <t>Pame_bac_bin237</t>
  </si>
  <si>
    <t>Pame_bac_bin238</t>
  </si>
  <si>
    <t>Pame_bac_bin239</t>
  </si>
  <si>
    <t>Pame_bac_bin240</t>
  </si>
  <si>
    <t>Pame_bac_bin241</t>
  </si>
  <si>
    <t>Pame_bac_bin242</t>
  </si>
  <si>
    <t>Pame_bac_bin243</t>
  </si>
  <si>
    <t>Pame_bac_bin244</t>
  </si>
  <si>
    <t>Pame_bac_bin245</t>
  </si>
  <si>
    <t>Pame_bac_bin246</t>
  </si>
  <si>
    <t>Pame_bac_bin247</t>
  </si>
  <si>
    <t>Pame_bac_bin248</t>
  </si>
  <si>
    <t>Pame_bac_bin249</t>
  </si>
  <si>
    <t>Pame_bac_bin250</t>
  </si>
  <si>
    <t>Pame_bac_bin251</t>
  </si>
  <si>
    <t>Pame_bac_bin252</t>
  </si>
  <si>
    <t>Pame_bac_bin253</t>
  </si>
  <si>
    <t>Pame_bac_bin254</t>
  </si>
  <si>
    <t>Pame_bac_bin255</t>
  </si>
  <si>
    <t>Pame_bac_bin256</t>
  </si>
  <si>
    <t>Pame_bac_bin257</t>
  </si>
  <si>
    <t>Pame_bac_bin258</t>
  </si>
  <si>
    <t>Pame_bac_bin259</t>
  </si>
  <si>
    <t>Pame_bac_bin260</t>
  </si>
  <si>
    <t>Pame_bac_bin261</t>
  </si>
  <si>
    <t>Pame_bac_bin262</t>
  </si>
  <si>
    <t>Pame_bac_bin263</t>
  </si>
  <si>
    <t>Pame_bac_bin264</t>
  </si>
  <si>
    <t>Pame_bac_bin265</t>
  </si>
  <si>
    <t>Pame_bac_bin266</t>
  </si>
  <si>
    <t>Pame_bac_bin267</t>
  </si>
  <si>
    <t>Pame_bac_bin268</t>
  </si>
  <si>
    <t>Pame_bac_bin269</t>
  </si>
  <si>
    <t>Pame_bac_bin270</t>
  </si>
  <si>
    <t>Pame_bac_bin271</t>
  </si>
  <si>
    <t>Pame_bac_bin272</t>
  </si>
  <si>
    <t>Pame_bac_bin273</t>
  </si>
  <si>
    <t>Pame_bac_bin274</t>
  </si>
  <si>
    <t>Pame_bac_bin275</t>
  </si>
  <si>
    <t>Pame_bac_bin276</t>
  </si>
  <si>
    <t>Pame_bac_bin277</t>
  </si>
  <si>
    <t>Pame_bac_bin278</t>
  </si>
  <si>
    <t>Pame_bac_bin279</t>
  </si>
  <si>
    <t>Pame_bac_bin280</t>
  </si>
  <si>
    <t>Pame_bac_bin281</t>
  </si>
  <si>
    <t>Pame_bac_bin282</t>
  </si>
  <si>
    <t>Pame_bac_bin283</t>
  </si>
  <si>
    <t>Pame_bac_bin284</t>
  </si>
  <si>
    <t>Pame_bac_bin285</t>
  </si>
  <si>
    <t>Pame_bac_bin286</t>
  </si>
  <si>
    <t>Pame_bac_bin287</t>
  </si>
  <si>
    <t>Pame_bac_bin288</t>
  </si>
  <si>
    <t>Pame_bac_bin289</t>
  </si>
  <si>
    <t>Pame_bac_bin290</t>
  </si>
  <si>
    <t>Pame_bac_bin291</t>
  </si>
  <si>
    <t>Pame_bac_bin292</t>
  </si>
  <si>
    <t>Pame_bac_bin293</t>
  </si>
  <si>
    <t>Pame_bac_bin294</t>
  </si>
  <si>
    <t>Pame_bac_bin295</t>
  </si>
  <si>
    <t>Pame_bac_bin296</t>
  </si>
  <si>
    <t>Pame_bac_bin297</t>
  </si>
  <si>
    <t>Pame_bac_bin298</t>
  </si>
  <si>
    <t>Pame_bac_bin299</t>
  </si>
  <si>
    <t>Pame_bac_bin300</t>
  </si>
  <si>
    <t>Pame_bac_bin301</t>
  </si>
  <si>
    <t>Pame_bac_bin302</t>
  </si>
  <si>
    <t>Pame_bac_bin303</t>
  </si>
  <si>
    <t>Pame_bac_bin304</t>
  </si>
  <si>
    <t>Pame_bac_bin305</t>
  </si>
  <si>
    <t>Pame_bac_bin306</t>
  </si>
  <si>
    <t>Pame_bac_bin307</t>
  </si>
  <si>
    <t>Pame_bac_bin308</t>
  </si>
  <si>
    <t>Pame_bac_bin309</t>
  </si>
  <si>
    <t>Pame_bac_bin310</t>
  </si>
  <si>
    <t>Pame_bac_bin311</t>
  </si>
  <si>
    <t>Pame_bac_bin312</t>
  </si>
  <si>
    <t>Pame_bac_bin313</t>
  </si>
  <si>
    <t>Pame_bac_bin314</t>
  </si>
  <si>
    <t>Pame_bac_bin315</t>
  </si>
  <si>
    <t>Pame_bac_bin316</t>
  </si>
  <si>
    <t>Pame_bac_bin317</t>
  </si>
  <si>
    <t>Pame_bac_bin318</t>
  </si>
  <si>
    <t>Pame_bac_bin319</t>
  </si>
  <si>
    <t>Pame_bac_bin320</t>
  </si>
  <si>
    <t>Pame_bac_bin321</t>
  </si>
  <si>
    <t>Pame_bac_bin322</t>
  </si>
  <si>
    <t>Pame_bac_bin323</t>
  </si>
  <si>
    <t>Pame_bac_bin324</t>
  </si>
  <si>
    <t>Pame_bac_bin325</t>
  </si>
  <si>
    <t>Pame_bac_bin326</t>
  </si>
  <si>
    <t>Pame_bac_bin327</t>
  </si>
  <si>
    <t>Pame_bac_bin328</t>
  </si>
  <si>
    <t>Pame_bac_bin329</t>
  </si>
  <si>
    <t>Pame_bac_bin330</t>
  </si>
  <si>
    <t>Pame_bac_bin331</t>
  </si>
  <si>
    <t>Pame_bac_bin332</t>
  </si>
  <si>
    <t>Pame_bac_bin333</t>
  </si>
  <si>
    <t>Pame_bac_bin334</t>
  </si>
  <si>
    <t>Pame_bac_bin335</t>
  </si>
  <si>
    <t>Pame_bac_bin336</t>
  </si>
  <si>
    <t>Pame_bac_bin337</t>
  </si>
  <si>
    <t>Pame_bac_bin338</t>
  </si>
  <si>
    <t>Pame_bac_bin339</t>
  </si>
  <si>
    <t>Pame_bac_bin340</t>
  </si>
  <si>
    <t>Pame_bac_bin341</t>
  </si>
  <si>
    <t>Pame_bac_bin342</t>
  </si>
  <si>
    <t>Pame_bac_bin343</t>
  </si>
  <si>
    <t>Pame_bac_bin344</t>
  </si>
  <si>
    <t>Pame_bac_bin345</t>
  </si>
  <si>
    <t>Pame_bac_bin346</t>
  </si>
  <si>
    <t>Pame_bac_bin347</t>
  </si>
  <si>
    <t>Pame_bac_bin348</t>
  </si>
  <si>
    <t>Pame_bac_bin349</t>
  </si>
  <si>
    <t>Pame_bac_bin350</t>
  </si>
  <si>
    <t>Pame_bac_bin351</t>
  </si>
  <si>
    <t>Pame_bac_bin352</t>
  </si>
  <si>
    <t>Pame_bac_bin353</t>
  </si>
  <si>
    <t>Pame_bac_bin354</t>
  </si>
  <si>
    <t>Pame_bac_bin355</t>
  </si>
  <si>
    <t>Pame_bac_bin356</t>
  </si>
  <si>
    <t>Pame_bac_bin357</t>
  </si>
  <si>
    <t>Pame_bac_bin358</t>
  </si>
  <si>
    <t>Pame_bac_bin359</t>
  </si>
  <si>
    <t>Pame_bac_bin360</t>
  </si>
  <si>
    <t>Pame_bac_bin361</t>
  </si>
  <si>
    <t>Pame_bac_bin362</t>
  </si>
  <si>
    <t>Pame_bac_bin363</t>
  </si>
  <si>
    <t>Pame_bac_bin364</t>
  </si>
  <si>
    <t>Pame_bac_bin365</t>
  </si>
  <si>
    <t>Pame_bac_bin366</t>
  </si>
  <si>
    <t>Pame_bac_bin367</t>
  </si>
  <si>
    <t>Pame_bac_bin368</t>
  </si>
  <si>
    <t>Pame_bac_bin369</t>
  </si>
  <si>
    <t>Pame_bac_bin370</t>
  </si>
  <si>
    <t>Pame_bac_bin371</t>
  </si>
  <si>
    <t>Pame_bac_bin372</t>
  </si>
  <si>
    <t>Pame_bac_bin373</t>
  </si>
  <si>
    <t>Pame_bac_bin374</t>
  </si>
  <si>
    <t>Pame_bac_bin375</t>
  </si>
  <si>
    <t>Pame_bac_bin376</t>
  </si>
  <si>
    <t>Pame_bac_bin377</t>
  </si>
  <si>
    <t>Pame_bac_bin378</t>
  </si>
  <si>
    <t>Pame_bac_bin379</t>
  </si>
  <si>
    <t>Pame_bac_bin380</t>
  </si>
  <si>
    <t>Pame_bac_bin381</t>
  </si>
  <si>
    <t>Pame_bac_bin382</t>
  </si>
  <si>
    <t>Pame_bac_bin383</t>
  </si>
  <si>
    <t>Pame_bac_bin384</t>
  </si>
  <si>
    <t>Pame_bac_bin385</t>
  </si>
  <si>
    <t>Pame_bac_bin386</t>
  </si>
  <si>
    <t>Pame_bac_bin387</t>
  </si>
  <si>
    <t>Pame_bac_bin388</t>
  </si>
  <si>
    <t>Pame_bac_bin389</t>
  </si>
  <si>
    <t>Pame_bac_bin390</t>
  </si>
  <si>
    <t>Pame_bac_bin391</t>
  </si>
  <si>
    <t>Pame_bac_bin392</t>
  </si>
  <si>
    <t>Pame_bac_bin393</t>
  </si>
  <si>
    <t>Pame_bac_bin394</t>
  </si>
  <si>
    <t>Pame_bac_bin395</t>
  </si>
  <si>
    <t>Pame_bac_bin396</t>
  </si>
  <si>
    <t>Pame_bac_bin397</t>
  </si>
  <si>
    <t>Pame_bac_bin398</t>
  </si>
  <si>
    <t>Pame_bac_bin399</t>
  </si>
  <si>
    <t>Pame_bac_bin400</t>
  </si>
  <si>
    <t>Pame_bac_bin401</t>
  </si>
  <si>
    <t>Pame_bac_bin402</t>
  </si>
  <si>
    <t>Pame_bac_bin403</t>
  </si>
  <si>
    <t>Pame_bac_bin404</t>
  </si>
  <si>
    <t>Pame_bac_bin405</t>
  </si>
  <si>
    <t>Pame_bac_bin406</t>
  </si>
  <si>
    <t>Pame_bac_bin407</t>
  </si>
  <si>
    <t>Pame_bac_bin408</t>
  </si>
  <si>
    <t>Pame_bac_bin409</t>
  </si>
  <si>
    <t>Pame_bac_bin410</t>
  </si>
  <si>
    <t>Pame_bac_bin411</t>
  </si>
  <si>
    <t>Pame_bac_bin412</t>
  </si>
  <si>
    <t>Pame_bac_bin413</t>
  </si>
  <si>
    <t>Pame_bac_bin414</t>
  </si>
  <si>
    <t>Pame_bac_bin415</t>
  </si>
  <si>
    <t>Pame_bac_bin416</t>
  </si>
  <si>
    <t>Pful_bac_bin001</t>
  </si>
  <si>
    <t>Pful_bac_bin002</t>
  </si>
  <si>
    <t>Pful_bac_bin003</t>
  </si>
  <si>
    <t>Pful_bac_bin004</t>
  </si>
  <si>
    <t>Pful_bac_bin005</t>
  </si>
  <si>
    <t>Pful_bac_bin006</t>
  </si>
  <si>
    <t>Pful_bac_bin007</t>
  </si>
  <si>
    <t>Pful_bac_bin008</t>
  </si>
  <si>
    <t>Pful_bac_bin009</t>
  </si>
  <si>
    <t>Pful_bac_bin010</t>
  </si>
  <si>
    <t>Pful_bac_bin011</t>
  </si>
  <si>
    <t>Pful_bac_bin012</t>
  </si>
  <si>
    <t>Pful_bac_bin013</t>
  </si>
  <si>
    <t>Pful_bac_bin014</t>
  </si>
  <si>
    <t>Pful_bac_bin015</t>
  </si>
  <si>
    <t>Pful_bac_bin016</t>
  </si>
  <si>
    <t>Pful_bac_bin017</t>
  </si>
  <si>
    <t>Pful_bac_bin018</t>
  </si>
  <si>
    <t>Pful_bac_bin019</t>
  </si>
  <si>
    <t>Pful_bac_bin020</t>
  </si>
  <si>
    <t>Pful_bac_bin021</t>
  </si>
  <si>
    <t>Pful_bac_bin022</t>
  </si>
  <si>
    <t>Pful_bac_bin023</t>
  </si>
  <si>
    <t>Pful_bac_bin024</t>
  </si>
  <si>
    <t>Pful_bac_bin025</t>
  </si>
  <si>
    <t>Pful_bac_bin026</t>
  </si>
  <si>
    <t>Pful_bac_bin027</t>
  </si>
  <si>
    <t>Pful_bac_bin028</t>
  </si>
  <si>
    <t>Pful_bac_bin029</t>
  </si>
  <si>
    <t>Pful_bac_bin030</t>
  </si>
  <si>
    <t>Pful_bac_bin031</t>
  </si>
  <si>
    <t>Pful_bac_bin032</t>
  </si>
  <si>
    <t>Pful_bac_bin033</t>
  </si>
  <si>
    <t>Pful_bac_bin034</t>
  </si>
  <si>
    <t>Pful_bac_bin035</t>
  </si>
  <si>
    <t>Pful_bac_bin036</t>
  </si>
  <si>
    <t>Pful_bac_bin037</t>
  </si>
  <si>
    <t>Pful_bac_bin038</t>
  </si>
  <si>
    <t>Pful_bac_bin039</t>
  </si>
  <si>
    <t>Pful_bac_bin040</t>
  </si>
  <si>
    <t>Pful_bac_bin041</t>
  </si>
  <si>
    <t>Pful_bac_bin042</t>
  </si>
  <si>
    <t>Pful_bac_bin043</t>
  </si>
  <si>
    <t>Pful_bac_bin044</t>
  </si>
  <si>
    <t>Pful_bac_bin045</t>
  </si>
  <si>
    <t>Pful_bac_bin046</t>
  </si>
  <si>
    <t>Pful_bac_bin047</t>
  </si>
  <si>
    <t>Pful_bac_bin048</t>
  </si>
  <si>
    <t>Pful_bac_bin049</t>
  </si>
  <si>
    <t>Pful_bac_bin050</t>
  </si>
  <si>
    <t>Pful_bac_bin051</t>
  </si>
  <si>
    <t>Pful_bac_bin052</t>
  </si>
  <si>
    <t>Pful_bac_bin053</t>
  </si>
  <si>
    <t>Pful_bac_bin054</t>
  </si>
  <si>
    <t>Pful_bac_bin055</t>
  </si>
  <si>
    <t>Pful_bac_bin056</t>
  </si>
  <si>
    <t>Pful_bac_bin057</t>
  </si>
  <si>
    <t>Pful_bac_bin058</t>
  </si>
  <si>
    <t>Pful_bac_bin059</t>
  </si>
  <si>
    <t>Pful_bac_bin060</t>
  </si>
  <si>
    <t>Pful_bac_bin061</t>
  </si>
  <si>
    <t>Pful_bac_bin062</t>
  </si>
  <si>
    <t>Pful_bac_bin063</t>
  </si>
  <si>
    <t>Pful_bac_bin064</t>
  </si>
  <si>
    <t>Pful_bac_bin065</t>
  </si>
  <si>
    <t>Pful_bac_bin066</t>
  </si>
  <si>
    <t>Pful_bac_bin067</t>
  </si>
  <si>
    <t>Pful_bac_bin068</t>
  </si>
  <si>
    <t>Pful_bac_bin069</t>
  </si>
  <si>
    <t>Pful_bac_bin070</t>
  </si>
  <si>
    <t>Pful_bac_bin071</t>
  </si>
  <si>
    <t>Pful_bac_bin072</t>
  </si>
  <si>
    <t>Pful_bac_bin073</t>
  </si>
  <si>
    <t>Pful_bac_bin074</t>
  </si>
  <si>
    <t>Pful_bac_bin075</t>
  </si>
  <si>
    <t>Pful_bac_bin076</t>
  </si>
  <si>
    <t>Pful_bac_bin077</t>
  </si>
  <si>
    <t>Pful_bac_bin078</t>
  </si>
  <si>
    <t>Pful_bac_bin079</t>
  </si>
  <si>
    <t>Pful_bac_bin080</t>
  </si>
  <si>
    <t>Pful_bac_bin081</t>
  </si>
  <si>
    <t>Pful_bac_bin082</t>
  </si>
  <si>
    <t>Pful_bac_bin083</t>
  </si>
  <si>
    <t>Pful_bac_bin084</t>
  </si>
  <si>
    <t>Pful_bac_bin085</t>
  </si>
  <si>
    <t>Pful_bac_bin086</t>
  </si>
  <si>
    <t>Pful_bac_bin087</t>
  </si>
  <si>
    <t>Pful_bac_bin088</t>
  </si>
  <si>
    <t>Pful_bac_bin089</t>
  </si>
  <si>
    <t>Pful_bac_bin090</t>
  </si>
  <si>
    <t>Pful_bac_bin091</t>
  </si>
  <si>
    <t>Pful_bac_bin092</t>
  </si>
  <si>
    <t>Pful_bac_bin093</t>
  </si>
  <si>
    <t>Pful_bac_bin094</t>
  </si>
  <si>
    <t>Pful_bac_bin095</t>
  </si>
  <si>
    <t>Pful_bac_bin096</t>
  </si>
  <si>
    <t>Pful_bac_bin097</t>
  </si>
  <si>
    <t>Pful_bac_bin098</t>
  </si>
  <si>
    <t>Pful_bac_bin099</t>
  </si>
  <si>
    <t>Pful_bac_bin100</t>
  </si>
  <si>
    <t>Pful_bac_bin101</t>
  </si>
  <si>
    <t>Pful_bac_bin102</t>
  </si>
  <si>
    <t>Pful_bac_bin103</t>
  </si>
  <si>
    <t>Pful_bac_bin104</t>
  </si>
  <si>
    <t>Pful_bac_bin105</t>
  </si>
  <si>
    <t>Pful_bac_bin106</t>
  </si>
  <si>
    <t>Pful_bac_bin107</t>
  </si>
  <si>
    <t>Pful_bac_bin108</t>
  </si>
  <si>
    <t>Pful_bac_bin109</t>
  </si>
  <si>
    <t>Pful_bac_bin110</t>
  </si>
  <si>
    <t>Pful_bac_bin111</t>
  </si>
  <si>
    <t>Pful_bac_bin112</t>
  </si>
  <si>
    <t>Pful_bac_bin113</t>
  </si>
  <si>
    <t>Pful_bac_bin114</t>
  </si>
  <si>
    <t>Pful_bac_bin115</t>
  </si>
  <si>
    <t>Pful_bac_bin116</t>
  </si>
  <si>
    <t>Pful_bac_bin117</t>
  </si>
  <si>
    <t>Pful_bac_bin118</t>
  </si>
  <si>
    <t>Pful_bac_bin119</t>
  </si>
  <si>
    <t>Pful_bac_bin120</t>
  </si>
  <si>
    <t>Pful_bac_bin121</t>
  </si>
  <si>
    <t>Pful_bac_bin122</t>
  </si>
  <si>
    <t>Pful_bac_bin123</t>
  </si>
  <si>
    <t>Pful_bac_bin124</t>
  </si>
  <si>
    <t>Pful_bac_bin125</t>
  </si>
  <si>
    <t>Pful_bac_bin126</t>
  </si>
  <si>
    <t>Pful_bac_bin127</t>
  </si>
  <si>
    <t>Pful_bac_bin128</t>
  </si>
  <si>
    <t>Pful_bac_bin129</t>
  </si>
  <si>
    <t>Pful_bac_bin130</t>
  </si>
  <si>
    <t>Pful_bac_bin131</t>
  </si>
  <si>
    <t>Pful_bac_bin132</t>
  </si>
  <si>
    <t>Pful_bac_bin133</t>
  </si>
  <si>
    <t>Pful_bac_bin134</t>
  </si>
  <si>
    <t>Pful_bac_bin135</t>
  </si>
  <si>
    <t>Pful_bac_bin136</t>
  </si>
  <si>
    <t>Pful_bac_bin137</t>
  </si>
  <si>
    <t>Pful_bac_bin138</t>
  </si>
  <si>
    <t>Pful_bac_bin139</t>
  </si>
  <si>
    <t>Pful_bac_bin140</t>
  </si>
  <si>
    <t>Pful_bac_bin141</t>
  </si>
  <si>
    <t>Pful_bac_bin142</t>
  </si>
  <si>
    <t>Pful_bac_bin143</t>
  </si>
  <si>
    <t>Pful_bac_bin144</t>
  </si>
  <si>
    <t>Pful_bac_bin145</t>
  </si>
  <si>
    <t>Pful_bac_bin146</t>
  </si>
  <si>
    <t>Pful_bac_bin147</t>
  </si>
  <si>
    <t>Pful_bac_bin148</t>
  </si>
  <si>
    <t>Pful_bac_bin149</t>
  </si>
  <si>
    <t>Pful_bac_bin150</t>
  </si>
  <si>
    <t>Pful_bac_bin151</t>
  </si>
  <si>
    <t>Pful_bac_bin152</t>
  </si>
  <si>
    <t>Pful_bac_bin153</t>
  </si>
  <si>
    <t>Pful_bac_bin154</t>
  </si>
  <si>
    <t>Pful_bac_bin155</t>
  </si>
  <si>
    <t>Pful_bac_bin156</t>
  </si>
  <si>
    <t>Pful_bac_bin157</t>
  </si>
  <si>
    <t>Pful_bac_bin158</t>
  </si>
  <si>
    <t>Pful_bac_bin159</t>
  </si>
  <si>
    <t>Pful_bac_bin160</t>
  </si>
  <si>
    <t>Pful_bac_bin161</t>
  </si>
  <si>
    <t>Pful_bac_bin162</t>
  </si>
  <si>
    <t>Pful_bac_bin163</t>
  </si>
  <si>
    <t>Pful_bac_bin164</t>
  </si>
  <si>
    <t>Pful_bac_bin165</t>
  </si>
  <si>
    <t>Pful_bac_bin166</t>
  </si>
  <si>
    <t>Pful_bac_bin167</t>
  </si>
  <si>
    <t>Pful_bac_bin168</t>
  </si>
  <si>
    <t>Pful_bac_bin169</t>
  </si>
  <si>
    <t>Pful_bac_bin170</t>
  </si>
  <si>
    <t>Pful_bac_bin171</t>
  </si>
  <si>
    <t>Pful_bac_bin172</t>
  </si>
  <si>
    <t>Pful_bac_bin173</t>
  </si>
  <si>
    <t>Pful_bac_bin174</t>
  </si>
  <si>
    <t>Pful_bac_bin175</t>
  </si>
  <si>
    <t>Pful_bac_bin176</t>
  </si>
  <si>
    <t>Pful_bac_bin177</t>
  </si>
  <si>
    <t>Pful_bac_bin178</t>
  </si>
  <si>
    <t>Pful_bac_bin179</t>
  </si>
  <si>
    <t>Pful_bac_bin180</t>
  </si>
  <si>
    <t>Pful_bac_bin181</t>
  </si>
  <si>
    <t>Pful_bac_bin182</t>
  </si>
  <si>
    <t>Pful_bac_bin183</t>
  </si>
  <si>
    <t>Pful_bac_bin184</t>
  </si>
  <si>
    <t>Pful_bac_bin185</t>
  </si>
  <si>
    <t>Pful_bac_bin186</t>
  </si>
  <si>
    <t>Pful_bac_bin187</t>
  </si>
  <si>
    <t>Pful_bac_bin188</t>
  </si>
  <si>
    <t>Pful_bac_bin189</t>
  </si>
  <si>
    <t>Pful_bac_bin190</t>
  </si>
  <si>
    <t>Pful_bac_bin191</t>
  </si>
  <si>
    <t>Pful_bac_bin192</t>
  </si>
  <si>
    <t>Pful_bac_bin193</t>
  </si>
  <si>
    <t>Pful_bac_bin194</t>
  </si>
  <si>
    <t>Pful_bac_bin195</t>
  </si>
  <si>
    <t>Pful_bac_bin196</t>
  </si>
  <si>
    <t>Pful_bac_bin197</t>
  </si>
  <si>
    <t>Pful_bac_bin198</t>
  </si>
  <si>
    <t>Pful_bac_bin199</t>
  </si>
  <si>
    <t>Pful_bac_bin200</t>
  </si>
  <si>
    <t>Pful_bac_bin201</t>
  </si>
  <si>
    <t>Pful_bac_bin202</t>
  </si>
  <si>
    <t>Pful_bac_bin203</t>
  </si>
  <si>
    <t>Pful_bac_bin204</t>
  </si>
  <si>
    <t>Pful_bac_bin205</t>
  </si>
  <si>
    <t>Pful_bac_bin206</t>
  </si>
  <si>
    <t>Pful_bac_bin207</t>
  </si>
  <si>
    <t>Pful_bac_bin208</t>
  </si>
  <si>
    <t>Pful_bac_bin209</t>
  </si>
  <si>
    <t>Pful_bac_bin210</t>
  </si>
  <si>
    <t>Pful_bac_bin211</t>
  </si>
  <si>
    <t>Pful_bac_bin212</t>
  </si>
  <si>
    <t>Pful_bac_bin213</t>
  </si>
  <si>
    <t>Pful_bac_bin214</t>
  </si>
  <si>
    <t>Pful_bac_bin215</t>
  </si>
  <si>
    <t>Pful_bac_bin216</t>
  </si>
  <si>
    <t>Pful_bac_bin217</t>
  </si>
  <si>
    <t>Pful_bac_bin218</t>
  </si>
  <si>
    <t>Pful_bac_bin219</t>
  </si>
  <si>
    <t>Pful_bac_bin220</t>
  </si>
  <si>
    <t>Pful_bac_bin221</t>
  </si>
  <si>
    <t>Pful_bac_bin222</t>
  </si>
  <si>
    <t>Pful_bac_bin223</t>
  </si>
  <si>
    <t>Pful_bac_bin224</t>
  </si>
  <si>
    <t>Pful_bac_bin225</t>
  </si>
  <si>
    <t>Pful_bac_bin226</t>
  </si>
  <si>
    <t>Pful_bac_bin227</t>
  </si>
  <si>
    <t>Pful_bac_bin228</t>
  </si>
  <si>
    <t>Pful_bac_bin229</t>
  </si>
  <si>
    <t>Pful_bac_bin230</t>
  </si>
  <si>
    <t>Pful_bac_bin231</t>
  </si>
  <si>
    <t>Pful_bac_bin232</t>
  </si>
  <si>
    <t>Pful_bac_bin233</t>
  </si>
  <si>
    <t>Pful_bac_bin234</t>
  </si>
  <si>
    <t>Pful_bac_bin235</t>
  </si>
  <si>
    <t>Pful_bac_bin236</t>
  </si>
  <si>
    <t>Pful_bac_bin237</t>
  </si>
  <si>
    <t>Pful_bac_bin238</t>
  </si>
  <si>
    <t>Pful_bac_bin239</t>
  </si>
  <si>
    <t>Pful_bac_bin240</t>
  </si>
  <si>
    <t>Pful_bac_bin241</t>
  </si>
  <si>
    <t>Pful_bac_bin242</t>
  </si>
  <si>
    <t>Pful_bac_bin243</t>
  </si>
  <si>
    <t>Pful_bac_bin244</t>
  </si>
  <si>
    <t>Pful_bac_bin245</t>
  </si>
  <si>
    <t>Pful_bac_bin246</t>
  </si>
  <si>
    <t>Pful_bac_bin247</t>
  </si>
  <si>
    <t>Pful_bac_bin248</t>
  </si>
  <si>
    <t>Pful_bac_bin249</t>
  </si>
  <si>
    <t>Pful_bac_bin250</t>
  </si>
  <si>
    <t>Pful_bac_bin251</t>
  </si>
  <si>
    <t>Pful_bac_bin252</t>
  </si>
  <si>
    <t>Pful_bac_bin253</t>
  </si>
  <si>
    <t>Pful_bac_bin254</t>
  </si>
  <si>
    <t>Pful_bac_bin255</t>
  </si>
  <si>
    <t>Pful_bac_bin256</t>
  </si>
  <si>
    <t>Pful_bac_bin257</t>
  </si>
  <si>
    <t>Pful_bac_bin258</t>
  </si>
  <si>
    <t>Pful_bac_bin259</t>
  </si>
  <si>
    <t>Pful_bac_bin260</t>
  </si>
  <si>
    <t>Pful_bac_bin261</t>
  </si>
  <si>
    <t>Pful_bac_bin262</t>
  </si>
  <si>
    <t>Pful_bac_bin263</t>
  </si>
  <si>
    <t>Pful_bac_bin264</t>
  </si>
  <si>
    <t>Pful_bac_bin265</t>
  </si>
  <si>
    <t>Pful_bac_bin266</t>
  </si>
  <si>
    <t>Pful_bac_bin267</t>
  </si>
  <si>
    <t>Pful_bac_bin268</t>
  </si>
  <si>
    <t>Pful_bac_bin269</t>
  </si>
  <si>
    <t>Pful_bac_bin270</t>
  </si>
  <si>
    <t>Pful_bac_bin271</t>
  </si>
  <si>
    <t>Pful_bac_bin272</t>
  </si>
  <si>
    <t>Pful_bac_bin273</t>
  </si>
  <si>
    <t>Pful_bac_bin274</t>
  </si>
  <si>
    <t>Pful_bac_bin275</t>
  </si>
  <si>
    <t>Pful_bac_bin276</t>
  </si>
  <si>
    <t>Pful_bac_bin277</t>
  </si>
  <si>
    <t>Pful_bac_bin278</t>
  </si>
  <si>
    <t>Pful_bac_bin279</t>
  </si>
  <si>
    <t>Pful_bac_bin280</t>
  </si>
  <si>
    <t>Pful_bac_bin281</t>
  </si>
  <si>
    <t>Pful_bac_bin282</t>
  </si>
  <si>
    <t>Pful_bac_bin283</t>
  </si>
  <si>
    <t>Pful_bac_bin284</t>
  </si>
  <si>
    <t>Pful_bac_bin285</t>
  </si>
  <si>
    <t>Pful_bac_bin286</t>
  </si>
  <si>
    <t>Pful_bac_bin287</t>
  </si>
  <si>
    <t>Pful_bac_bin288</t>
  </si>
  <si>
    <t>Pful_bac_bin289</t>
  </si>
  <si>
    <t>Pful_bac_bin290</t>
  </si>
  <si>
    <t>Pful_bac_bin291</t>
  </si>
  <si>
    <t>Pful_bac_bin292</t>
  </si>
  <si>
    <t>Pful_bac_bin293</t>
  </si>
  <si>
    <t>Pful_bac_bin294</t>
  </si>
  <si>
    <t>Pful_bac_bin295</t>
  </si>
  <si>
    <t>Pful_bac_bin296</t>
  </si>
  <si>
    <t>Pful_bac_bin297</t>
  </si>
  <si>
    <t>Pful_bac_bin298</t>
  </si>
  <si>
    <t>Pful_bac_bin299</t>
  </si>
  <si>
    <t>Pful_bac_bin300</t>
  </si>
  <si>
    <t>Pful_bac_bin301</t>
  </si>
  <si>
    <t>Pful_bac_bin302</t>
  </si>
  <si>
    <t>Pful_bac_bin303</t>
  </si>
  <si>
    <t>Pful_bac_bin304</t>
  </si>
  <si>
    <t>Pful_bac_bin305</t>
  </si>
  <si>
    <t>Pful_bac_bin306</t>
  </si>
  <si>
    <t>Pful_bac_bin307</t>
  </si>
  <si>
    <t>Pful_bac_bin308</t>
  </si>
  <si>
    <t>Pful_bac_bin309</t>
  </si>
  <si>
    <t>Pful_bac_bin310</t>
  </si>
  <si>
    <t>Pful_bac_bin311</t>
  </si>
  <si>
    <t>Pful_bac_bin312</t>
  </si>
  <si>
    <t>Pful_bac_bin313</t>
  </si>
  <si>
    <t>Pful_bac_bin314</t>
  </si>
  <si>
    <t>Pful_bac_bin315</t>
  </si>
  <si>
    <t>Pful_bac_bin316</t>
  </si>
  <si>
    <t>Pful_bac_bin317</t>
  </si>
  <si>
    <t>Pful_bac_bin318</t>
  </si>
  <si>
    <t>Pful_bac_bin319</t>
  </si>
  <si>
    <t>Pful_bac_bin320</t>
  </si>
  <si>
    <t>Pful_bac_bin321</t>
  </si>
  <si>
    <t>Pful_bac_bin322</t>
  </si>
  <si>
    <t>Pful_bac_bin323</t>
  </si>
  <si>
    <t>Pful_bac_bin324</t>
  </si>
  <si>
    <t>Pful_bac_bin325</t>
  </si>
  <si>
    <t>Pful_bac_bin326</t>
  </si>
  <si>
    <t>Pful_bac_bin327</t>
  </si>
  <si>
    <t>Pful_bac_bin328</t>
  </si>
  <si>
    <t>Pful_bac_bin329</t>
  </si>
  <si>
    <t>Pful_bac_bin330</t>
  </si>
  <si>
    <t>Pful_bac_bin331</t>
  </si>
  <si>
    <t>Pful_bac_bin332</t>
  </si>
  <si>
    <t>Pful_bac_bin333</t>
  </si>
  <si>
    <t>Pful_bac_bin334</t>
  </si>
  <si>
    <t>Pful_bac_bin335</t>
  </si>
  <si>
    <t>Pful_bac_bin336</t>
  </si>
  <si>
    <t>Pful_bac_bin337</t>
  </si>
  <si>
    <t>Pful_bac_bin338</t>
  </si>
  <si>
    <t>Pful_bac_bin339</t>
  </si>
  <si>
    <t>Pful_bac_bin340</t>
  </si>
  <si>
    <t>Pful_bac_bin341</t>
  </si>
  <si>
    <t>Pful_bac_bin342</t>
  </si>
  <si>
    <t>Pful_bac_bin343</t>
  </si>
  <si>
    <t>Pful_bac_bin344</t>
  </si>
  <si>
    <t>Pful_bac_bin345</t>
  </si>
  <si>
    <t>Pful_bac_bin346</t>
  </si>
  <si>
    <t>Pful_bac_bin347</t>
  </si>
  <si>
    <t>Pful_bac_bin348</t>
  </si>
  <si>
    <t>Pful_bac_bin349</t>
  </si>
  <si>
    <t>Pful_bac_bin350</t>
  </si>
  <si>
    <t>Pful_bac_bin351</t>
  </si>
  <si>
    <t>Pful_bac_bin352</t>
  </si>
  <si>
    <t>Pful_bac_bin353</t>
  </si>
  <si>
    <t>Pful_bac_bin354</t>
  </si>
  <si>
    <t>Pful_bac_bin355</t>
  </si>
  <si>
    <t>Pful_bac_bin356</t>
  </si>
  <si>
    <t>Pful_bac_bin357</t>
  </si>
  <si>
    <t>Pful_bac_bin358</t>
  </si>
  <si>
    <t>Pful_bac_bin359</t>
  </si>
  <si>
    <t>Pful_bac_bin360</t>
  </si>
  <si>
    <t>Pful_bac_bin361</t>
  </si>
  <si>
    <t>Pful_bac_bin362</t>
  </si>
  <si>
    <t>Pful_bac_bin363</t>
  </si>
  <si>
    <t>Pful_bac_bin364</t>
  </si>
  <si>
    <t>Pful_bac_bin365</t>
  </si>
  <si>
    <t>Pful_bac_bin366</t>
  </si>
  <si>
    <t>Pful_bac_bin367</t>
  </si>
  <si>
    <t>Pful_bac_bin368</t>
  </si>
  <si>
    <t>Pful_bac_bin369</t>
  </si>
  <si>
    <t>Pful_bac_bin370</t>
  </si>
  <si>
    <t>Pful_bac_bin371</t>
  </si>
  <si>
    <t>Pful_bac_bin372</t>
  </si>
  <si>
    <t>Pful_bac_bin373</t>
  </si>
  <si>
    <t>Pful_bac_bin374</t>
  </si>
  <si>
    <t>Pful_bac_bin375</t>
  </si>
  <si>
    <t>Pful_bac_bin376</t>
  </si>
  <si>
    <t>Pful_bac_bin377</t>
  </si>
  <si>
    <t>Pful_bac_bin378</t>
  </si>
  <si>
    <t>Pful_bac_bin379</t>
  </si>
  <si>
    <t>Pful_bac_bin380</t>
  </si>
  <si>
    <t>Pful_bac_bin381</t>
  </si>
  <si>
    <t>Pful_bac_bin382</t>
  </si>
  <si>
    <t>Pful_bac_bin383</t>
  </si>
  <si>
    <t>Pful_bac_bin384</t>
  </si>
  <si>
    <t>Pful_bac_bin385</t>
  </si>
  <si>
    <t>Pful_bac_bin386</t>
  </si>
  <si>
    <t>Pful_bac_bin387</t>
  </si>
  <si>
    <t>Pful_bac_bin388</t>
  </si>
  <si>
    <t>Pful_bac_bin389</t>
  </si>
  <si>
    <t>Pful_bac_bin390</t>
  </si>
  <si>
    <t>Pful_bac_bin391</t>
  </si>
  <si>
    <t>Pful_bac_bin392</t>
  </si>
  <si>
    <t>Pful_bac_bin393</t>
  </si>
  <si>
    <t>Pful_bac_bin394</t>
  </si>
  <si>
    <t>Pful_bac_bin395</t>
  </si>
  <si>
    <t>Pful_bac_bin396</t>
  </si>
  <si>
    <t>Pful_bac_bin397</t>
  </si>
  <si>
    <t>Pful_bac_bin398</t>
  </si>
  <si>
    <t>Pful_bac_bin399</t>
  </si>
  <si>
    <t>Pful_bac_bin400</t>
  </si>
  <si>
    <t>Pful_bac_bin401</t>
  </si>
  <si>
    <t>Pful_bac_bin402</t>
  </si>
  <si>
    <t>Pful_bac_bin403</t>
  </si>
  <si>
    <t>Pful_bac_bin404</t>
  </si>
  <si>
    <t>Pful_bac_bin405</t>
  </si>
  <si>
    <t>Pful_bac_bin406</t>
  </si>
  <si>
    <t>Pful_bac_bin407</t>
  </si>
  <si>
    <t>Pful_bac_bin408</t>
  </si>
  <si>
    <t>Pful_bac_bin409</t>
  </si>
  <si>
    <t>Pful_bac_bin410</t>
  </si>
  <si>
    <t>Pful_bac_bin411</t>
  </si>
  <si>
    <t>Pful_bac_bin412</t>
  </si>
  <si>
    <t>Pful_bac_bin413</t>
  </si>
  <si>
    <t>Pful_bac_bin414</t>
  </si>
  <si>
    <t>Pful_bac_bin415</t>
  </si>
  <si>
    <t>Pful_bac_bin416</t>
  </si>
  <si>
    <t>Pful_bac_bin417</t>
  </si>
  <si>
    <t>Pful_bac_bin418</t>
  </si>
  <si>
    <t>Pful_bac_bin419</t>
  </si>
  <si>
    <t>Pful_bac_bin420</t>
  </si>
  <si>
    <t>Pful_bac_bin421</t>
  </si>
  <si>
    <t>Pful_bac_bin422</t>
  </si>
  <si>
    <t>Pful_bac_bin423</t>
  </si>
  <si>
    <t>Pful_bac_bin424</t>
  </si>
  <si>
    <t>Pful_bac_bin425</t>
  </si>
  <si>
    <t>Pful_bac_bin426</t>
  </si>
  <si>
    <t>Pful_bac_bin427</t>
  </si>
  <si>
    <t>Pful_bac_bin428</t>
  </si>
  <si>
    <t>Pful_bac_bin429</t>
  </si>
  <si>
    <t>Pful_bac_bin430</t>
  </si>
  <si>
    <t>Pful_bac_bin431</t>
  </si>
  <si>
    <t>Pful_bac_bin432</t>
  </si>
  <si>
    <t>Pful_bac_bin433</t>
  </si>
  <si>
    <t>Pful_bac_bin434</t>
  </si>
  <si>
    <t>Pful_bac_bin435</t>
  </si>
  <si>
    <t>Pful_bac_bin436</t>
  </si>
  <si>
    <t>Pful_bac_bin437</t>
  </si>
  <si>
    <t>Pful_bac_bin438</t>
  </si>
  <si>
    <t>Pful_bac_bin439</t>
  </si>
  <si>
    <t>Pful_bac_bin440</t>
  </si>
  <si>
    <t>Pful_bac_bin441</t>
  </si>
  <si>
    <t>Pful_bac_bin442</t>
  </si>
  <si>
    <t>Pful_bac_bin443</t>
  </si>
  <si>
    <t>Pful_bac_bin444</t>
  </si>
  <si>
    <t>Pful_bac_bin445</t>
  </si>
  <si>
    <t>Pful_bac_bin446</t>
  </si>
  <si>
    <t>Pful_bac_bin447</t>
  </si>
  <si>
    <t>Pful_bac_bin448</t>
  </si>
  <si>
    <t>Pful_bac_bin449</t>
  </si>
  <si>
    <t>Pful_bac_bin450</t>
  </si>
  <si>
    <t>Pful_bac_bin451</t>
  </si>
  <si>
    <t>Pful_bac_bin452</t>
  </si>
  <si>
    <t>Pful_bac_bin453</t>
  </si>
  <si>
    <t>Pful_bac_bin454</t>
  </si>
  <si>
    <t>Pful_bac_bin455</t>
  </si>
  <si>
    <t>Pful_bac_bin456</t>
  </si>
  <si>
    <t>Pful_bac_bin457</t>
  </si>
  <si>
    <t>Pful_bac_bin458</t>
  </si>
  <si>
    <t>Pful_bac_bin459</t>
  </si>
  <si>
    <t>Pful_bac_bin460</t>
  </si>
  <si>
    <t>Pful_bac_bin461</t>
  </si>
  <si>
    <t>Pful_bac_bin462</t>
  </si>
  <si>
    <t>Pful_bac_bin463</t>
  </si>
  <si>
    <t>Pful_bac_bin464</t>
  </si>
  <si>
    <t>Pful_bac_bin465</t>
  </si>
  <si>
    <t>Pful_bac_bin466</t>
  </si>
  <si>
    <t>Pful_bac_bin467</t>
  </si>
  <si>
    <t>Pful_bac_bin468</t>
  </si>
  <si>
    <t>Pful_bac_bin469</t>
  </si>
  <si>
    <t>Pful_bac_bin470</t>
  </si>
  <si>
    <t>Pful_bac_bin471</t>
  </si>
  <si>
    <t>Pful_bac_bin472</t>
  </si>
  <si>
    <t>Pful_bac_bin473</t>
  </si>
  <si>
    <t>Pful_bac_bin474</t>
  </si>
  <si>
    <t>Pful_bac_bin475</t>
  </si>
  <si>
    <t>Pful_bac_bin476</t>
  </si>
  <si>
    <t>Pful_bac_bin477</t>
  </si>
  <si>
    <t>Pful_bac_bin478</t>
  </si>
  <si>
    <t>Pful_bac_bin479</t>
  </si>
  <si>
    <t>Pful_bac_bin480</t>
  </si>
  <si>
    <t>Pful_bac_bin481</t>
  </si>
  <si>
    <t>Pful_bac_bin482</t>
  </si>
  <si>
    <t>Pful_bac_bin483</t>
  </si>
  <si>
    <t>Pful_bac_bin484</t>
  </si>
  <si>
    <t>Pful_bac_bin485</t>
  </si>
  <si>
    <t>Pful_bac_bin486</t>
  </si>
  <si>
    <t>Pful_bac_bin487</t>
  </si>
  <si>
    <t>Pful_bac_bin488</t>
  </si>
  <si>
    <t>Pful_bac_bin489</t>
  </si>
  <si>
    <t>Pful_bac_bin490</t>
  </si>
  <si>
    <t>Pful_bac_bin491</t>
  </si>
  <si>
    <t>Pful_bac_bin492</t>
  </si>
  <si>
    <t>Pful_bac_bin493</t>
  </si>
  <si>
    <t>user_genome</t>
  </si>
  <si>
    <t>phylum</t>
    <phoneticPr fontId="1" type="noConversion"/>
  </si>
  <si>
    <t>p__Actinomycetota</t>
  </si>
  <si>
    <t>p__Bacillota</t>
  </si>
  <si>
    <t>p__Bacillota_A</t>
  </si>
  <si>
    <t>p__Bacillota_B</t>
  </si>
  <si>
    <t>p__Bacillota_C</t>
  </si>
  <si>
    <t>p__Bacillota_G</t>
  </si>
  <si>
    <t>p__Bacillota_I</t>
  </si>
  <si>
    <t>p__Bacteroidota</t>
  </si>
  <si>
    <t>p__Bdellovibrionota</t>
  </si>
  <si>
    <t>p__Campylobacterota</t>
  </si>
  <si>
    <t>p__Cyanobacteriota</t>
  </si>
  <si>
    <t>p__Deferribacterota</t>
  </si>
  <si>
    <t>p__Desulfobacterota</t>
  </si>
  <si>
    <t>p__Elusimicrobiota</t>
  </si>
  <si>
    <t>p__Eremiobacterota</t>
  </si>
  <si>
    <t>p__Fibrobacterota</t>
  </si>
  <si>
    <t>p__Fusobacteriota</t>
  </si>
  <si>
    <t>p__JAAYKD01</t>
  </si>
  <si>
    <t>p__Myxococcota</t>
  </si>
  <si>
    <t>p__Patescibacteria</t>
  </si>
  <si>
    <t>p__Planctomycetota</t>
  </si>
  <si>
    <t>p__Pseudomonadota</t>
  </si>
  <si>
    <t>p__Riflebacteria</t>
  </si>
  <si>
    <t>p__Spirochaetota</t>
  </si>
  <si>
    <t>p__Synergistota</t>
  </si>
  <si>
    <t>p__Verrucomicrobiota</t>
  </si>
  <si>
    <t>phylum</t>
  </si>
  <si>
    <t>genome_size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</si>
</sst>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4" fontId="0" fillId="0" borderId="0" xfId="0" applyNumberFormat="1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92EAF-12E3-473A-9983-433068FC3AAA}">
  <dimension ref="A1:H1579"/>
  <sheetViews>
    <sheetView tabSelected="1" workbookViewId="0">
      <selection activeCell="K4" sqref="K3:K4"/>
    </sheetView>
  </sheetViews>
  <sheetFormatPr defaultRowHeight="13.8" x14ac:dyDescent="0.25"/>
  <cols>
    <col min="1" max="1" width="35.21875" customWidth="1"/>
    <col min="2" max="2" width="29.77734375" customWidth="1"/>
  </cols>
  <sheetData>
    <row r="1" spans="1:8" x14ac:dyDescent="0.25">
      <c r="A1" t="s">
        <v>5</v>
      </c>
      <c r="B1" t="s">
        <v>1613</v>
      </c>
      <c r="C1" t="s">
        <v>0</v>
      </c>
      <c r="D1" t="s">
        <v>1</v>
      </c>
      <c r="E1" t="s">
        <v>1614</v>
      </c>
      <c r="F1" t="s">
        <v>2</v>
      </c>
      <c r="G1" t="s">
        <v>3</v>
      </c>
      <c r="H1" t="s">
        <v>4</v>
      </c>
    </row>
    <row r="2" spans="1:8" x14ac:dyDescent="0.25">
      <c r="A2" t="s">
        <v>225</v>
      </c>
      <c r="B2" t="s">
        <v>1587</v>
      </c>
      <c r="C2">
        <v>304</v>
      </c>
      <c r="D2">
        <v>1243924</v>
      </c>
      <c r="E2">
        <v>1.243924</v>
      </c>
      <c r="F2">
        <v>2034</v>
      </c>
      <c r="G2">
        <v>4091.9</v>
      </c>
      <c r="H2">
        <v>21066</v>
      </c>
    </row>
    <row r="3" spans="1:8" x14ac:dyDescent="0.25">
      <c r="A3" t="s">
        <v>226</v>
      </c>
      <c r="B3" t="s">
        <v>1587</v>
      </c>
      <c r="C3">
        <v>248</v>
      </c>
      <c r="D3">
        <v>1701786</v>
      </c>
      <c r="E3">
        <v>1.701786</v>
      </c>
      <c r="F3">
        <v>2003</v>
      </c>
      <c r="G3">
        <v>6862</v>
      </c>
      <c r="H3">
        <v>31627</v>
      </c>
    </row>
    <row r="4" spans="1:8" x14ac:dyDescent="0.25">
      <c r="A4" t="s">
        <v>227</v>
      </c>
      <c r="B4" t="s">
        <v>1587</v>
      </c>
      <c r="C4">
        <v>348</v>
      </c>
      <c r="D4">
        <v>3570265</v>
      </c>
      <c r="E4">
        <v>3.570265</v>
      </c>
      <c r="F4">
        <v>2016</v>
      </c>
      <c r="G4">
        <v>10259.4</v>
      </c>
      <c r="H4">
        <v>155476</v>
      </c>
    </row>
    <row r="5" spans="1:8" x14ac:dyDescent="0.25">
      <c r="A5" t="s">
        <v>228</v>
      </c>
      <c r="B5" t="s">
        <v>1587</v>
      </c>
      <c r="C5">
        <v>3</v>
      </c>
      <c r="D5">
        <v>3485785</v>
      </c>
      <c r="E5">
        <v>3.4857849999999999</v>
      </c>
      <c r="F5">
        <v>2799</v>
      </c>
      <c r="G5">
        <v>1161928.3</v>
      </c>
      <c r="H5">
        <v>3476066</v>
      </c>
    </row>
    <row r="6" spans="1:8" x14ac:dyDescent="0.25">
      <c r="A6" t="s">
        <v>229</v>
      </c>
      <c r="B6" t="s">
        <v>1587</v>
      </c>
      <c r="C6">
        <v>184</v>
      </c>
      <c r="D6">
        <v>2167933</v>
      </c>
      <c r="E6">
        <v>2.1679330000000001</v>
      </c>
      <c r="F6">
        <v>2029</v>
      </c>
      <c r="G6">
        <v>11782.2</v>
      </c>
      <c r="H6">
        <v>65951</v>
      </c>
    </row>
    <row r="7" spans="1:8" x14ac:dyDescent="0.25">
      <c r="A7" t="s">
        <v>230</v>
      </c>
      <c r="B7" t="s">
        <v>1587</v>
      </c>
      <c r="C7">
        <v>484</v>
      </c>
      <c r="D7">
        <v>3367734</v>
      </c>
      <c r="E7">
        <v>3.367734</v>
      </c>
      <c r="F7">
        <v>2501</v>
      </c>
      <c r="G7">
        <v>6958.1</v>
      </c>
      <c r="H7">
        <v>46530</v>
      </c>
    </row>
    <row r="8" spans="1:8" x14ac:dyDescent="0.25">
      <c r="A8" t="s">
        <v>231</v>
      </c>
      <c r="B8" t="s">
        <v>1587</v>
      </c>
      <c r="C8">
        <v>293</v>
      </c>
      <c r="D8">
        <v>3353778</v>
      </c>
      <c r="E8">
        <v>3.3537780000000001</v>
      </c>
      <c r="F8">
        <v>2519</v>
      </c>
      <c r="G8">
        <v>11446.3</v>
      </c>
      <c r="H8">
        <v>64800</v>
      </c>
    </row>
    <row r="9" spans="1:8" x14ac:dyDescent="0.25">
      <c r="A9" t="s">
        <v>232</v>
      </c>
      <c r="B9" t="s">
        <v>1587</v>
      </c>
      <c r="C9">
        <v>792</v>
      </c>
      <c r="D9">
        <v>3514271</v>
      </c>
      <c r="E9">
        <v>3.5142709999999999</v>
      </c>
      <c r="F9">
        <v>2006</v>
      </c>
      <c r="G9">
        <v>4437.2</v>
      </c>
      <c r="H9">
        <v>45798</v>
      </c>
    </row>
    <row r="10" spans="1:8" x14ac:dyDescent="0.25">
      <c r="A10" t="s">
        <v>233</v>
      </c>
      <c r="B10" t="s">
        <v>1587</v>
      </c>
      <c r="C10">
        <v>288</v>
      </c>
      <c r="D10">
        <v>2132026</v>
      </c>
      <c r="E10">
        <v>2.1320260000000002</v>
      </c>
      <c r="F10">
        <v>2001</v>
      </c>
      <c r="G10">
        <v>7402.9</v>
      </c>
      <c r="H10">
        <v>40489</v>
      </c>
    </row>
    <row r="11" spans="1:8" x14ac:dyDescent="0.25">
      <c r="A11" t="s">
        <v>234</v>
      </c>
      <c r="B11" t="s">
        <v>1587</v>
      </c>
      <c r="C11">
        <v>51</v>
      </c>
      <c r="D11">
        <v>2099369</v>
      </c>
      <c r="E11">
        <v>2.0993689999999998</v>
      </c>
      <c r="F11">
        <v>8599</v>
      </c>
      <c r="G11">
        <v>41164.1</v>
      </c>
      <c r="H11">
        <v>173818</v>
      </c>
    </row>
    <row r="12" spans="1:8" x14ac:dyDescent="0.25">
      <c r="A12" t="s">
        <v>235</v>
      </c>
      <c r="B12" t="s">
        <v>1587</v>
      </c>
      <c r="C12">
        <v>6</v>
      </c>
      <c r="D12">
        <v>2935834</v>
      </c>
      <c r="E12">
        <v>2.9358339999999998</v>
      </c>
      <c r="F12">
        <v>16438</v>
      </c>
      <c r="G12">
        <v>489305.7</v>
      </c>
      <c r="H12">
        <v>1127270</v>
      </c>
    </row>
    <row r="13" spans="1:8" x14ac:dyDescent="0.25">
      <c r="A13" t="s">
        <v>236</v>
      </c>
      <c r="B13" t="s">
        <v>1587</v>
      </c>
      <c r="C13">
        <v>22</v>
      </c>
      <c r="D13">
        <v>1506162</v>
      </c>
      <c r="E13">
        <v>1.506162</v>
      </c>
      <c r="F13">
        <v>3639</v>
      </c>
      <c r="G13">
        <v>68461.899999999994</v>
      </c>
      <c r="H13">
        <v>318751</v>
      </c>
    </row>
    <row r="14" spans="1:8" x14ac:dyDescent="0.25">
      <c r="A14" t="s">
        <v>676</v>
      </c>
      <c r="B14" t="s">
        <v>1587</v>
      </c>
      <c r="C14">
        <v>47</v>
      </c>
      <c r="D14">
        <v>2943853</v>
      </c>
      <c r="E14">
        <v>2.9438529999999998</v>
      </c>
      <c r="F14">
        <v>2433</v>
      </c>
      <c r="G14">
        <v>62635.199999999997</v>
      </c>
      <c r="H14">
        <v>352481</v>
      </c>
    </row>
    <row r="15" spans="1:8" x14ac:dyDescent="0.25">
      <c r="A15" t="s">
        <v>677</v>
      </c>
      <c r="B15" t="s">
        <v>1587</v>
      </c>
      <c r="C15">
        <v>11</v>
      </c>
      <c r="D15">
        <v>3121978</v>
      </c>
      <c r="E15">
        <v>3.1219779999999999</v>
      </c>
      <c r="F15">
        <v>6634</v>
      </c>
      <c r="G15">
        <v>283816.2</v>
      </c>
      <c r="H15">
        <v>1728114</v>
      </c>
    </row>
    <row r="16" spans="1:8" x14ac:dyDescent="0.25">
      <c r="A16" t="s">
        <v>678</v>
      </c>
      <c r="B16" t="s">
        <v>1587</v>
      </c>
      <c r="C16">
        <v>6</v>
      </c>
      <c r="D16">
        <v>2691002</v>
      </c>
      <c r="E16">
        <v>2.6910020000000001</v>
      </c>
      <c r="F16">
        <v>4517</v>
      </c>
      <c r="G16">
        <v>448500.3</v>
      </c>
      <c r="H16">
        <v>1498574</v>
      </c>
    </row>
    <row r="17" spans="1:8" x14ac:dyDescent="0.25">
      <c r="A17" t="s">
        <v>679</v>
      </c>
      <c r="B17" t="s">
        <v>1587</v>
      </c>
      <c r="C17">
        <v>12</v>
      </c>
      <c r="D17">
        <v>2781959</v>
      </c>
      <c r="E17">
        <v>2.7819590000000001</v>
      </c>
      <c r="F17">
        <v>7836</v>
      </c>
      <c r="G17">
        <v>231829.9</v>
      </c>
      <c r="H17">
        <v>595016</v>
      </c>
    </row>
    <row r="18" spans="1:8" x14ac:dyDescent="0.25">
      <c r="A18" t="s">
        <v>680</v>
      </c>
      <c r="B18" t="s">
        <v>1587</v>
      </c>
      <c r="C18">
        <v>46</v>
      </c>
      <c r="D18">
        <v>2583338</v>
      </c>
      <c r="E18">
        <v>2.5833379999999999</v>
      </c>
      <c r="F18">
        <v>2476</v>
      </c>
      <c r="G18">
        <v>56159.5</v>
      </c>
      <c r="H18">
        <v>228728</v>
      </c>
    </row>
    <row r="19" spans="1:8" x14ac:dyDescent="0.25">
      <c r="A19" t="s">
        <v>681</v>
      </c>
      <c r="B19" t="s">
        <v>1587</v>
      </c>
      <c r="C19">
        <v>31</v>
      </c>
      <c r="D19">
        <v>1547065</v>
      </c>
      <c r="E19">
        <v>1.5470649999999999</v>
      </c>
      <c r="F19">
        <v>2915</v>
      </c>
      <c r="G19">
        <v>49905.3</v>
      </c>
      <c r="H19">
        <v>251516</v>
      </c>
    </row>
    <row r="20" spans="1:8" x14ac:dyDescent="0.25">
      <c r="A20" t="s">
        <v>682</v>
      </c>
      <c r="B20" t="s">
        <v>1587</v>
      </c>
      <c r="C20">
        <v>9</v>
      </c>
      <c r="D20">
        <v>1940314</v>
      </c>
      <c r="E20">
        <v>1.9403140000000001</v>
      </c>
      <c r="F20">
        <v>8110</v>
      </c>
      <c r="G20">
        <v>215590.39999999999</v>
      </c>
      <c r="H20">
        <v>601048</v>
      </c>
    </row>
    <row r="21" spans="1:8" x14ac:dyDescent="0.25">
      <c r="A21" t="s">
        <v>683</v>
      </c>
      <c r="B21" t="s">
        <v>1587</v>
      </c>
      <c r="C21">
        <v>27</v>
      </c>
      <c r="D21">
        <v>2133482</v>
      </c>
      <c r="E21">
        <v>2.1334819999999999</v>
      </c>
      <c r="F21">
        <v>2775</v>
      </c>
      <c r="G21">
        <v>79017.899999999994</v>
      </c>
      <c r="H21">
        <v>496287</v>
      </c>
    </row>
    <row r="22" spans="1:8" x14ac:dyDescent="0.25">
      <c r="A22" t="s">
        <v>684</v>
      </c>
      <c r="B22" t="s">
        <v>1587</v>
      </c>
      <c r="C22">
        <v>47</v>
      </c>
      <c r="D22">
        <v>1837908</v>
      </c>
      <c r="E22">
        <v>1.8379080000000001</v>
      </c>
      <c r="F22">
        <v>2024</v>
      </c>
      <c r="G22">
        <v>39104.400000000001</v>
      </c>
      <c r="H22">
        <v>964972</v>
      </c>
    </row>
    <row r="23" spans="1:8" x14ac:dyDescent="0.25">
      <c r="A23" t="s">
        <v>685</v>
      </c>
      <c r="B23" t="s">
        <v>1587</v>
      </c>
      <c r="C23">
        <v>116</v>
      </c>
      <c r="D23">
        <v>1467332</v>
      </c>
      <c r="E23">
        <v>1.4673320000000001</v>
      </c>
      <c r="F23">
        <v>2014</v>
      </c>
      <c r="G23">
        <v>12649.4</v>
      </c>
      <c r="H23">
        <v>182104</v>
      </c>
    </row>
    <row r="24" spans="1:8" x14ac:dyDescent="0.25">
      <c r="A24" t="s">
        <v>1092</v>
      </c>
      <c r="B24" t="s">
        <v>1587</v>
      </c>
      <c r="C24">
        <v>9</v>
      </c>
      <c r="D24">
        <v>2089365</v>
      </c>
      <c r="E24">
        <v>2.0893649999999999</v>
      </c>
      <c r="F24">
        <v>2342</v>
      </c>
      <c r="G24">
        <v>232151.7</v>
      </c>
      <c r="H24">
        <v>2049854</v>
      </c>
    </row>
    <row r="25" spans="1:8" x14ac:dyDescent="0.25">
      <c r="A25" t="s">
        <v>1093</v>
      </c>
      <c r="B25" t="s">
        <v>1587</v>
      </c>
      <c r="C25">
        <v>207</v>
      </c>
      <c r="D25">
        <v>2091568</v>
      </c>
      <c r="E25">
        <v>2.0915680000000001</v>
      </c>
      <c r="F25">
        <v>2003</v>
      </c>
      <c r="G25">
        <v>10104.200000000001</v>
      </c>
      <c r="H25">
        <v>123145</v>
      </c>
    </row>
    <row r="26" spans="1:8" x14ac:dyDescent="0.25">
      <c r="A26" t="s">
        <v>1094</v>
      </c>
      <c r="B26" t="s">
        <v>1587</v>
      </c>
      <c r="C26">
        <v>304</v>
      </c>
      <c r="D26">
        <v>2931526</v>
      </c>
      <c r="E26">
        <v>2.9315259999999999</v>
      </c>
      <c r="F26">
        <v>2004</v>
      </c>
      <c r="G26">
        <v>9643.2000000000007</v>
      </c>
      <c r="H26">
        <v>226681</v>
      </c>
    </row>
    <row r="27" spans="1:8" x14ac:dyDescent="0.25">
      <c r="A27" t="s">
        <v>1095</v>
      </c>
      <c r="B27" t="s">
        <v>1587</v>
      </c>
      <c r="C27">
        <v>195</v>
      </c>
      <c r="D27">
        <v>2222643</v>
      </c>
      <c r="E27">
        <v>2.2226430000000001</v>
      </c>
      <c r="F27">
        <v>2016</v>
      </c>
      <c r="G27">
        <v>11398.2</v>
      </c>
      <c r="H27">
        <v>145915</v>
      </c>
    </row>
    <row r="28" spans="1:8" x14ac:dyDescent="0.25">
      <c r="A28" t="s">
        <v>1096</v>
      </c>
      <c r="B28" t="s">
        <v>1587</v>
      </c>
      <c r="C28">
        <v>12</v>
      </c>
      <c r="D28">
        <v>1874355</v>
      </c>
      <c r="E28">
        <v>1.874355</v>
      </c>
      <c r="F28">
        <v>6519</v>
      </c>
      <c r="G28">
        <v>156196.29999999999</v>
      </c>
      <c r="H28">
        <v>820128</v>
      </c>
    </row>
    <row r="29" spans="1:8" x14ac:dyDescent="0.25">
      <c r="A29" t="s">
        <v>1097</v>
      </c>
      <c r="B29" t="s">
        <v>1587</v>
      </c>
      <c r="C29">
        <v>22</v>
      </c>
      <c r="D29">
        <v>2433470</v>
      </c>
      <c r="E29">
        <v>2.4334699999999998</v>
      </c>
      <c r="F29">
        <v>3173</v>
      </c>
      <c r="G29">
        <v>110612.3</v>
      </c>
      <c r="H29">
        <v>605908</v>
      </c>
    </row>
    <row r="30" spans="1:8" x14ac:dyDescent="0.25">
      <c r="A30" t="s">
        <v>1098</v>
      </c>
      <c r="B30" t="s">
        <v>1587</v>
      </c>
      <c r="C30">
        <v>14</v>
      </c>
      <c r="D30">
        <v>1384621</v>
      </c>
      <c r="E30">
        <v>1.3846210000000001</v>
      </c>
      <c r="F30">
        <v>19197</v>
      </c>
      <c r="G30">
        <v>98901.5</v>
      </c>
      <c r="H30">
        <v>506170</v>
      </c>
    </row>
    <row r="31" spans="1:8" x14ac:dyDescent="0.25">
      <c r="A31" t="s">
        <v>1099</v>
      </c>
      <c r="B31" t="s">
        <v>1587</v>
      </c>
      <c r="C31">
        <v>348</v>
      </c>
      <c r="D31">
        <v>2669961</v>
      </c>
      <c r="E31">
        <v>2.6699609999999998</v>
      </c>
      <c r="F31">
        <v>2001</v>
      </c>
      <c r="G31">
        <v>7672.3</v>
      </c>
      <c r="H31">
        <v>182335</v>
      </c>
    </row>
    <row r="32" spans="1:8" x14ac:dyDescent="0.25">
      <c r="A32" t="s">
        <v>42</v>
      </c>
      <c r="B32" t="s">
        <v>1588</v>
      </c>
      <c r="C32">
        <v>702</v>
      </c>
      <c r="D32">
        <v>4107153</v>
      </c>
      <c r="E32">
        <v>4.1071530000000003</v>
      </c>
      <c r="F32">
        <v>2000</v>
      </c>
      <c r="G32">
        <v>5850.6</v>
      </c>
      <c r="H32">
        <v>66778</v>
      </c>
    </row>
    <row r="33" spans="1:8" x14ac:dyDescent="0.25">
      <c r="A33" t="s">
        <v>43</v>
      </c>
      <c r="B33" t="s">
        <v>1588</v>
      </c>
      <c r="C33">
        <v>375</v>
      </c>
      <c r="D33">
        <v>3840087</v>
      </c>
      <c r="E33">
        <v>3.840087</v>
      </c>
      <c r="F33">
        <v>2016</v>
      </c>
      <c r="G33">
        <v>10240.200000000001</v>
      </c>
      <c r="H33">
        <v>100502</v>
      </c>
    </row>
    <row r="34" spans="1:8" x14ac:dyDescent="0.25">
      <c r="A34" t="s">
        <v>44</v>
      </c>
      <c r="B34" t="s">
        <v>1588</v>
      </c>
      <c r="C34">
        <v>203</v>
      </c>
      <c r="D34">
        <v>1830308</v>
      </c>
      <c r="E34">
        <v>1.830308</v>
      </c>
      <c r="F34">
        <v>2005</v>
      </c>
      <c r="G34">
        <v>9016.2999999999993</v>
      </c>
      <c r="H34">
        <v>44371</v>
      </c>
    </row>
    <row r="35" spans="1:8" x14ac:dyDescent="0.25">
      <c r="A35" t="s">
        <v>45</v>
      </c>
      <c r="B35" t="s">
        <v>1588</v>
      </c>
      <c r="C35">
        <v>128</v>
      </c>
      <c r="D35">
        <v>1959592</v>
      </c>
      <c r="E35">
        <v>1.959592</v>
      </c>
      <c r="F35">
        <v>2564</v>
      </c>
      <c r="G35">
        <v>15309.3</v>
      </c>
      <c r="H35">
        <v>78138</v>
      </c>
    </row>
    <row r="36" spans="1:8" x14ac:dyDescent="0.25">
      <c r="A36" t="s">
        <v>407</v>
      </c>
      <c r="B36" t="s">
        <v>1588</v>
      </c>
      <c r="C36">
        <v>13</v>
      </c>
      <c r="D36">
        <v>2543102</v>
      </c>
      <c r="E36">
        <v>2.5431020000000002</v>
      </c>
      <c r="F36">
        <v>6199</v>
      </c>
      <c r="G36">
        <v>195623.2</v>
      </c>
      <c r="H36">
        <v>989800</v>
      </c>
    </row>
    <row r="37" spans="1:8" x14ac:dyDescent="0.25">
      <c r="A37" t="s">
        <v>408</v>
      </c>
      <c r="B37" t="s">
        <v>1588</v>
      </c>
      <c r="C37">
        <v>138</v>
      </c>
      <c r="D37">
        <v>1726428</v>
      </c>
      <c r="E37">
        <v>1.7264280000000001</v>
      </c>
      <c r="F37">
        <v>2004</v>
      </c>
      <c r="G37">
        <v>12510.3</v>
      </c>
      <c r="H37">
        <v>128165</v>
      </c>
    </row>
    <row r="38" spans="1:8" x14ac:dyDescent="0.25">
      <c r="A38" t="s">
        <v>409</v>
      </c>
      <c r="B38" t="s">
        <v>1588</v>
      </c>
      <c r="C38">
        <v>74</v>
      </c>
      <c r="D38">
        <v>2855398</v>
      </c>
      <c r="E38">
        <v>2.8553980000000001</v>
      </c>
      <c r="F38">
        <v>2082</v>
      </c>
      <c r="G38">
        <v>38586.5</v>
      </c>
      <c r="H38">
        <v>232881</v>
      </c>
    </row>
    <row r="39" spans="1:8" x14ac:dyDescent="0.25">
      <c r="A39" t="s">
        <v>410</v>
      </c>
      <c r="B39" t="s">
        <v>1588</v>
      </c>
      <c r="C39">
        <v>29</v>
      </c>
      <c r="D39">
        <v>1370072</v>
      </c>
      <c r="E39">
        <v>1.370072</v>
      </c>
      <c r="F39">
        <v>2827</v>
      </c>
      <c r="G39">
        <v>47243.9</v>
      </c>
      <c r="H39">
        <v>255317</v>
      </c>
    </row>
    <row r="40" spans="1:8" x14ac:dyDescent="0.25">
      <c r="A40" t="s">
        <v>411</v>
      </c>
      <c r="B40" t="s">
        <v>1588</v>
      </c>
      <c r="C40">
        <v>42</v>
      </c>
      <c r="D40">
        <v>2866240</v>
      </c>
      <c r="E40">
        <v>2.8662399999999999</v>
      </c>
      <c r="F40">
        <v>2020</v>
      </c>
      <c r="G40">
        <v>68243.8</v>
      </c>
      <c r="H40">
        <v>374455</v>
      </c>
    </row>
    <row r="41" spans="1:8" x14ac:dyDescent="0.25">
      <c r="A41" t="s">
        <v>412</v>
      </c>
      <c r="B41" t="s">
        <v>1588</v>
      </c>
      <c r="C41">
        <v>25</v>
      </c>
      <c r="D41">
        <v>2481076</v>
      </c>
      <c r="E41">
        <v>2.4810759999999998</v>
      </c>
      <c r="F41">
        <v>2675</v>
      </c>
      <c r="G41">
        <v>99243</v>
      </c>
      <c r="H41">
        <v>595456</v>
      </c>
    </row>
    <row r="42" spans="1:8" x14ac:dyDescent="0.25">
      <c r="A42" t="s">
        <v>413</v>
      </c>
      <c r="B42" t="s">
        <v>1588</v>
      </c>
      <c r="C42">
        <v>315</v>
      </c>
      <c r="D42">
        <v>1840459</v>
      </c>
      <c r="E42">
        <v>1.8404590000000001</v>
      </c>
      <c r="F42">
        <v>2001</v>
      </c>
      <c r="G42">
        <v>5842.7</v>
      </c>
      <c r="H42">
        <v>77987</v>
      </c>
    </row>
    <row r="43" spans="1:8" x14ac:dyDescent="0.25">
      <c r="A43" t="s">
        <v>414</v>
      </c>
      <c r="B43" t="s">
        <v>1588</v>
      </c>
      <c r="C43">
        <v>186</v>
      </c>
      <c r="D43">
        <v>1582840</v>
      </c>
      <c r="E43">
        <v>1.58284</v>
      </c>
      <c r="F43">
        <v>2012</v>
      </c>
      <c r="G43">
        <v>8509.9</v>
      </c>
      <c r="H43">
        <v>51038</v>
      </c>
    </row>
    <row r="44" spans="1:8" x14ac:dyDescent="0.25">
      <c r="A44" t="s">
        <v>415</v>
      </c>
      <c r="B44" t="s">
        <v>1588</v>
      </c>
      <c r="C44">
        <v>69</v>
      </c>
      <c r="D44">
        <v>2959152</v>
      </c>
      <c r="E44">
        <v>2.959152</v>
      </c>
      <c r="F44">
        <v>2049</v>
      </c>
      <c r="G44">
        <v>42886.3</v>
      </c>
      <c r="H44">
        <v>248374</v>
      </c>
    </row>
    <row r="45" spans="1:8" x14ac:dyDescent="0.25">
      <c r="A45" t="s">
        <v>416</v>
      </c>
      <c r="B45" t="s">
        <v>1588</v>
      </c>
      <c r="C45">
        <v>4</v>
      </c>
      <c r="D45">
        <v>2482324</v>
      </c>
      <c r="E45">
        <v>2.4823240000000002</v>
      </c>
      <c r="F45">
        <v>22770</v>
      </c>
      <c r="G45">
        <v>620581</v>
      </c>
      <c r="H45">
        <v>1346931</v>
      </c>
    </row>
    <row r="46" spans="1:8" x14ac:dyDescent="0.25">
      <c r="A46" t="s">
        <v>417</v>
      </c>
      <c r="B46" t="s">
        <v>1588</v>
      </c>
      <c r="C46">
        <v>256</v>
      </c>
      <c r="D46">
        <v>2074633</v>
      </c>
      <c r="E46">
        <v>2.0746329999999999</v>
      </c>
      <c r="F46">
        <v>2012</v>
      </c>
      <c r="G46">
        <v>8104</v>
      </c>
      <c r="H46">
        <v>63330</v>
      </c>
    </row>
    <row r="47" spans="1:8" x14ac:dyDescent="0.25">
      <c r="A47" t="s">
        <v>418</v>
      </c>
      <c r="B47" t="s">
        <v>1588</v>
      </c>
      <c r="C47">
        <v>279</v>
      </c>
      <c r="D47">
        <v>1520089</v>
      </c>
      <c r="E47">
        <v>1.520089</v>
      </c>
      <c r="F47">
        <v>2024</v>
      </c>
      <c r="G47">
        <v>5448.3</v>
      </c>
      <c r="H47">
        <v>43798</v>
      </c>
    </row>
    <row r="48" spans="1:8" x14ac:dyDescent="0.25">
      <c r="A48" t="s">
        <v>419</v>
      </c>
      <c r="B48" t="s">
        <v>1588</v>
      </c>
      <c r="C48">
        <v>59</v>
      </c>
      <c r="D48">
        <v>1565905</v>
      </c>
      <c r="E48">
        <v>1.5659050000000001</v>
      </c>
      <c r="F48">
        <v>2012</v>
      </c>
      <c r="G48">
        <v>26540.799999999999</v>
      </c>
      <c r="H48">
        <v>118984</v>
      </c>
    </row>
    <row r="49" spans="1:8" x14ac:dyDescent="0.25">
      <c r="A49" t="s">
        <v>420</v>
      </c>
      <c r="B49" t="s">
        <v>1588</v>
      </c>
      <c r="C49">
        <v>62</v>
      </c>
      <c r="D49">
        <v>1704398</v>
      </c>
      <c r="E49">
        <v>1.7043980000000001</v>
      </c>
      <c r="F49">
        <v>2067</v>
      </c>
      <c r="G49">
        <v>27490.3</v>
      </c>
      <c r="H49">
        <v>223927</v>
      </c>
    </row>
    <row r="50" spans="1:8" x14ac:dyDescent="0.25">
      <c r="A50" t="s">
        <v>421</v>
      </c>
      <c r="B50" t="s">
        <v>1588</v>
      </c>
      <c r="C50">
        <v>14</v>
      </c>
      <c r="D50">
        <v>2755989</v>
      </c>
      <c r="E50">
        <v>2.755989</v>
      </c>
      <c r="F50">
        <v>3328</v>
      </c>
      <c r="G50">
        <v>196856.4</v>
      </c>
      <c r="H50">
        <v>879408</v>
      </c>
    </row>
    <row r="51" spans="1:8" x14ac:dyDescent="0.25">
      <c r="A51" t="s">
        <v>422</v>
      </c>
      <c r="B51" t="s">
        <v>1588</v>
      </c>
      <c r="C51">
        <v>99</v>
      </c>
      <c r="D51">
        <v>1474205</v>
      </c>
      <c r="E51">
        <v>1.474205</v>
      </c>
      <c r="F51">
        <v>2014</v>
      </c>
      <c r="G51">
        <v>14891</v>
      </c>
      <c r="H51">
        <v>133582</v>
      </c>
    </row>
    <row r="52" spans="1:8" x14ac:dyDescent="0.25">
      <c r="A52" t="s">
        <v>423</v>
      </c>
      <c r="B52" t="s">
        <v>1588</v>
      </c>
      <c r="C52">
        <v>41</v>
      </c>
      <c r="D52">
        <v>1429128</v>
      </c>
      <c r="E52">
        <v>1.429128</v>
      </c>
      <c r="F52">
        <v>2532</v>
      </c>
      <c r="G52">
        <v>34856.800000000003</v>
      </c>
      <c r="H52">
        <v>252925</v>
      </c>
    </row>
    <row r="53" spans="1:8" x14ac:dyDescent="0.25">
      <c r="A53" t="s">
        <v>424</v>
      </c>
      <c r="B53" t="s">
        <v>1588</v>
      </c>
      <c r="C53">
        <v>14</v>
      </c>
      <c r="D53">
        <v>2516867</v>
      </c>
      <c r="E53">
        <v>2.516867</v>
      </c>
      <c r="F53">
        <v>3021</v>
      </c>
      <c r="G53">
        <v>179776.2</v>
      </c>
      <c r="H53">
        <v>871241</v>
      </c>
    </row>
    <row r="54" spans="1:8" x14ac:dyDescent="0.25">
      <c r="A54" t="s">
        <v>425</v>
      </c>
      <c r="B54" t="s">
        <v>1588</v>
      </c>
      <c r="C54">
        <v>22</v>
      </c>
      <c r="D54">
        <v>2093593</v>
      </c>
      <c r="E54">
        <v>2.0935929999999998</v>
      </c>
      <c r="F54">
        <v>2214</v>
      </c>
      <c r="G54">
        <v>95163.3</v>
      </c>
      <c r="H54">
        <v>793527</v>
      </c>
    </row>
    <row r="55" spans="1:8" x14ac:dyDescent="0.25">
      <c r="A55" t="s">
        <v>426</v>
      </c>
      <c r="B55" t="s">
        <v>1588</v>
      </c>
      <c r="C55">
        <v>135</v>
      </c>
      <c r="D55">
        <v>1623718</v>
      </c>
      <c r="E55">
        <v>1.623718</v>
      </c>
      <c r="F55">
        <v>2003</v>
      </c>
      <c r="G55">
        <v>12027.5</v>
      </c>
      <c r="H55">
        <v>146894</v>
      </c>
    </row>
    <row r="56" spans="1:8" x14ac:dyDescent="0.25">
      <c r="A56" t="s">
        <v>427</v>
      </c>
      <c r="B56" t="s">
        <v>1588</v>
      </c>
      <c r="C56">
        <v>41</v>
      </c>
      <c r="D56">
        <v>2140462</v>
      </c>
      <c r="E56">
        <v>2.1404619999999999</v>
      </c>
      <c r="F56">
        <v>2124</v>
      </c>
      <c r="G56">
        <v>52206.400000000001</v>
      </c>
      <c r="H56">
        <v>547657</v>
      </c>
    </row>
    <row r="57" spans="1:8" x14ac:dyDescent="0.25">
      <c r="A57" t="s">
        <v>428</v>
      </c>
      <c r="B57" t="s">
        <v>1588</v>
      </c>
      <c r="C57">
        <v>13</v>
      </c>
      <c r="D57">
        <v>1949748</v>
      </c>
      <c r="E57">
        <v>1.949748</v>
      </c>
      <c r="F57">
        <v>2016</v>
      </c>
      <c r="G57">
        <v>149980.6</v>
      </c>
      <c r="H57">
        <v>1501803</v>
      </c>
    </row>
    <row r="58" spans="1:8" x14ac:dyDescent="0.25">
      <c r="A58" t="s">
        <v>429</v>
      </c>
      <c r="B58" t="s">
        <v>1588</v>
      </c>
      <c r="C58">
        <v>85</v>
      </c>
      <c r="D58">
        <v>2658475</v>
      </c>
      <c r="E58">
        <v>2.6584750000000001</v>
      </c>
      <c r="F58">
        <v>2227</v>
      </c>
      <c r="G58">
        <v>31276.2</v>
      </c>
      <c r="H58">
        <v>183121</v>
      </c>
    </row>
    <row r="59" spans="1:8" x14ac:dyDescent="0.25">
      <c r="A59" t="s">
        <v>430</v>
      </c>
      <c r="B59" t="s">
        <v>1588</v>
      </c>
      <c r="C59">
        <v>236</v>
      </c>
      <c r="D59">
        <v>2597884</v>
      </c>
      <c r="E59">
        <v>2.5978840000000001</v>
      </c>
      <c r="F59">
        <v>2000</v>
      </c>
      <c r="G59">
        <v>11008</v>
      </c>
      <c r="H59">
        <v>125274</v>
      </c>
    </row>
    <row r="60" spans="1:8" x14ac:dyDescent="0.25">
      <c r="A60" t="s">
        <v>686</v>
      </c>
      <c r="B60" t="s">
        <v>1588</v>
      </c>
      <c r="C60">
        <v>23</v>
      </c>
      <c r="D60">
        <v>2073266</v>
      </c>
      <c r="E60">
        <v>2.0732659999999998</v>
      </c>
      <c r="F60">
        <v>8236</v>
      </c>
      <c r="G60">
        <v>90142</v>
      </c>
      <c r="H60">
        <v>223880</v>
      </c>
    </row>
    <row r="61" spans="1:8" x14ac:dyDescent="0.25">
      <c r="A61" t="s">
        <v>687</v>
      </c>
      <c r="B61" t="s">
        <v>1588</v>
      </c>
      <c r="C61">
        <v>9</v>
      </c>
      <c r="D61">
        <v>1902446</v>
      </c>
      <c r="E61">
        <v>1.9024460000000001</v>
      </c>
      <c r="F61">
        <v>50018</v>
      </c>
      <c r="G61">
        <v>211382.9</v>
      </c>
      <c r="H61">
        <v>550925</v>
      </c>
    </row>
    <row r="62" spans="1:8" x14ac:dyDescent="0.25">
      <c r="A62" t="s">
        <v>688</v>
      </c>
      <c r="B62" t="s">
        <v>1588</v>
      </c>
      <c r="C62">
        <v>35</v>
      </c>
      <c r="D62">
        <v>2920587</v>
      </c>
      <c r="E62">
        <v>2.9205869999999998</v>
      </c>
      <c r="F62">
        <v>5938</v>
      </c>
      <c r="G62">
        <v>83445.3</v>
      </c>
      <c r="H62">
        <v>463614</v>
      </c>
    </row>
    <row r="63" spans="1:8" x14ac:dyDescent="0.25">
      <c r="A63" t="s">
        <v>689</v>
      </c>
      <c r="B63" t="s">
        <v>1588</v>
      </c>
      <c r="C63">
        <v>20</v>
      </c>
      <c r="D63">
        <v>2721137</v>
      </c>
      <c r="E63">
        <v>2.7211370000000001</v>
      </c>
      <c r="F63">
        <v>3455</v>
      </c>
      <c r="G63">
        <v>136056.9</v>
      </c>
      <c r="H63">
        <v>635239</v>
      </c>
    </row>
    <row r="64" spans="1:8" x14ac:dyDescent="0.25">
      <c r="A64" t="s">
        <v>690</v>
      </c>
      <c r="B64" t="s">
        <v>1588</v>
      </c>
      <c r="C64">
        <v>38</v>
      </c>
      <c r="D64">
        <v>2178039</v>
      </c>
      <c r="E64">
        <v>2.1780390000000001</v>
      </c>
      <c r="F64">
        <v>3256</v>
      </c>
      <c r="G64">
        <v>57316.800000000003</v>
      </c>
      <c r="H64">
        <v>233628</v>
      </c>
    </row>
    <row r="65" spans="1:8" x14ac:dyDescent="0.25">
      <c r="A65" t="s">
        <v>691</v>
      </c>
      <c r="B65" t="s">
        <v>1588</v>
      </c>
      <c r="C65">
        <v>15</v>
      </c>
      <c r="D65">
        <v>2212880</v>
      </c>
      <c r="E65">
        <v>2.2128800000000002</v>
      </c>
      <c r="F65">
        <v>2135</v>
      </c>
      <c r="G65">
        <v>147525.29999999999</v>
      </c>
      <c r="H65">
        <v>528787</v>
      </c>
    </row>
    <row r="66" spans="1:8" x14ac:dyDescent="0.25">
      <c r="A66" t="s">
        <v>692</v>
      </c>
      <c r="B66" t="s">
        <v>1588</v>
      </c>
      <c r="C66">
        <v>21</v>
      </c>
      <c r="D66">
        <v>2436091</v>
      </c>
      <c r="E66">
        <v>2.4360909999999998</v>
      </c>
      <c r="F66">
        <v>5190</v>
      </c>
      <c r="G66">
        <v>116004.3</v>
      </c>
      <c r="H66">
        <v>352599</v>
      </c>
    </row>
    <row r="67" spans="1:8" x14ac:dyDescent="0.25">
      <c r="A67" t="s">
        <v>693</v>
      </c>
      <c r="B67" t="s">
        <v>1588</v>
      </c>
      <c r="C67">
        <v>11</v>
      </c>
      <c r="D67">
        <v>2808820</v>
      </c>
      <c r="E67">
        <v>2.8088199999999999</v>
      </c>
      <c r="F67">
        <v>3161</v>
      </c>
      <c r="G67">
        <v>255347.3</v>
      </c>
      <c r="H67">
        <v>1405443</v>
      </c>
    </row>
    <row r="68" spans="1:8" x14ac:dyDescent="0.25">
      <c r="A68" t="s">
        <v>694</v>
      </c>
      <c r="B68" t="s">
        <v>1588</v>
      </c>
      <c r="C68">
        <v>22</v>
      </c>
      <c r="D68">
        <v>1417864</v>
      </c>
      <c r="E68">
        <v>1.417864</v>
      </c>
      <c r="F68">
        <v>2017</v>
      </c>
      <c r="G68">
        <v>64448.4</v>
      </c>
      <c r="H68">
        <v>341726</v>
      </c>
    </row>
    <row r="69" spans="1:8" x14ac:dyDescent="0.25">
      <c r="A69" t="s">
        <v>695</v>
      </c>
      <c r="B69" t="s">
        <v>1588</v>
      </c>
      <c r="C69">
        <v>14</v>
      </c>
      <c r="D69">
        <v>2237998</v>
      </c>
      <c r="E69">
        <v>2.2379980000000002</v>
      </c>
      <c r="F69">
        <v>4289</v>
      </c>
      <c r="G69">
        <v>159857</v>
      </c>
      <c r="H69">
        <v>759354</v>
      </c>
    </row>
    <row r="70" spans="1:8" x14ac:dyDescent="0.25">
      <c r="A70" t="s">
        <v>696</v>
      </c>
      <c r="B70" t="s">
        <v>1588</v>
      </c>
      <c r="C70">
        <v>4</v>
      </c>
      <c r="D70">
        <v>1241170</v>
      </c>
      <c r="E70">
        <v>1.2411700000000001</v>
      </c>
      <c r="F70">
        <v>2994</v>
      </c>
      <c r="G70">
        <v>310292.5</v>
      </c>
      <c r="H70">
        <v>1150160</v>
      </c>
    </row>
    <row r="71" spans="1:8" x14ac:dyDescent="0.25">
      <c r="A71" t="s">
        <v>697</v>
      </c>
      <c r="B71" t="s">
        <v>1588</v>
      </c>
      <c r="C71">
        <v>3</v>
      </c>
      <c r="D71">
        <v>798507</v>
      </c>
      <c r="E71">
        <v>0.79850699999999997</v>
      </c>
      <c r="F71">
        <v>3758</v>
      </c>
      <c r="G71">
        <v>266169</v>
      </c>
      <c r="H71">
        <v>646672</v>
      </c>
    </row>
    <row r="72" spans="1:8" x14ac:dyDescent="0.25">
      <c r="A72" t="s">
        <v>698</v>
      </c>
      <c r="B72" t="s">
        <v>1588</v>
      </c>
      <c r="C72">
        <v>13</v>
      </c>
      <c r="D72">
        <v>687594</v>
      </c>
      <c r="E72">
        <v>0.68759400000000004</v>
      </c>
      <c r="F72">
        <v>20026</v>
      </c>
      <c r="G72">
        <v>52891.8</v>
      </c>
      <c r="H72">
        <v>156807</v>
      </c>
    </row>
    <row r="73" spans="1:8" x14ac:dyDescent="0.25">
      <c r="A73" t="s">
        <v>699</v>
      </c>
      <c r="B73" t="s">
        <v>1588</v>
      </c>
      <c r="C73">
        <v>10</v>
      </c>
      <c r="D73">
        <v>1570609</v>
      </c>
      <c r="E73">
        <v>1.5706089999999999</v>
      </c>
      <c r="F73">
        <v>3179</v>
      </c>
      <c r="G73">
        <v>157060.9</v>
      </c>
      <c r="H73">
        <v>493429</v>
      </c>
    </row>
    <row r="74" spans="1:8" x14ac:dyDescent="0.25">
      <c r="A74" t="s">
        <v>700</v>
      </c>
      <c r="B74" t="s">
        <v>1588</v>
      </c>
      <c r="C74">
        <v>12</v>
      </c>
      <c r="D74">
        <v>1229820</v>
      </c>
      <c r="E74">
        <v>1.2298199999999999</v>
      </c>
      <c r="F74">
        <v>2438</v>
      </c>
      <c r="G74">
        <v>102485</v>
      </c>
      <c r="H74">
        <v>406891</v>
      </c>
    </row>
    <row r="75" spans="1:8" x14ac:dyDescent="0.25">
      <c r="A75" t="s">
        <v>701</v>
      </c>
      <c r="B75" t="s">
        <v>1588</v>
      </c>
      <c r="C75">
        <v>71</v>
      </c>
      <c r="D75">
        <v>1488519</v>
      </c>
      <c r="E75">
        <v>1.4885189999999999</v>
      </c>
      <c r="F75">
        <v>2065</v>
      </c>
      <c r="G75">
        <v>20965.099999999999</v>
      </c>
      <c r="H75">
        <v>288425</v>
      </c>
    </row>
    <row r="76" spans="1:8" x14ac:dyDescent="0.25">
      <c r="A76" t="s">
        <v>702</v>
      </c>
      <c r="B76" t="s">
        <v>1588</v>
      </c>
      <c r="C76">
        <v>26</v>
      </c>
      <c r="D76">
        <v>1206574</v>
      </c>
      <c r="E76">
        <v>1.206574</v>
      </c>
      <c r="F76">
        <v>3009</v>
      </c>
      <c r="G76">
        <v>46406.7</v>
      </c>
      <c r="H76">
        <v>209402</v>
      </c>
    </row>
    <row r="77" spans="1:8" x14ac:dyDescent="0.25">
      <c r="A77" t="s">
        <v>703</v>
      </c>
      <c r="B77" t="s">
        <v>1588</v>
      </c>
      <c r="C77">
        <v>58</v>
      </c>
      <c r="D77">
        <v>1457370</v>
      </c>
      <c r="E77">
        <v>1.4573700000000001</v>
      </c>
      <c r="F77">
        <v>2019</v>
      </c>
      <c r="G77">
        <v>25127.1</v>
      </c>
      <c r="H77">
        <v>331786</v>
      </c>
    </row>
    <row r="78" spans="1:8" x14ac:dyDescent="0.25">
      <c r="A78" t="s">
        <v>704</v>
      </c>
      <c r="B78" t="s">
        <v>1588</v>
      </c>
      <c r="C78">
        <v>38</v>
      </c>
      <c r="D78">
        <v>1650542</v>
      </c>
      <c r="E78">
        <v>1.650542</v>
      </c>
      <c r="F78">
        <v>2019</v>
      </c>
      <c r="G78">
        <v>43435.3</v>
      </c>
      <c r="H78">
        <v>307246</v>
      </c>
    </row>
    <row r="79" spans="1:8" x14ac:dyDescent="0.25">
      <c r="A79" t="s">
        <v>705</v>
      </c>
      <c r="B79" t="s">
        <v>1588</v>
      </c>
      <c r="C79">
        <v>62</v>
      </c>
      <c r="D79">
        <v>3057643</v>
      </c>
      <c r="E79">
        <v>3.0576430000000001</v>
      </c>
      <c r="F79">
        <v>3899</v>
      </c>
      <c r="G79">
        <v>49316.800000000003</v>
      </c>
      <c r="H79">
        <v>550203</v>
      </c>
    </row>
    <row r="80" spans="1:8" x14ac:dyDescent="0.25">
      <c r="A80" t="s">
        <v>706</v>
      </c>
      <c r="B80" t="s">
        <v>1588</v>
      </c>
      <c r="C80">
        <v>10</v>
      </c>
      <c r="D80">
        <v>1696098</v>
      </c>
      <c r="E80">
        <v>1.6960980000000001</v>
      </c>
      <c r="F80">
        <v>3705</v>
      </c>
      <c r="G80">
        <v>169609.8</v>
      </c>
      <c r="H80">
        <v>591879</v>
      </c>
    </row>
    <row r="81" spans="1:8" x14ac:dyDescent="0.25">
      <c r="A81" t="s">
        <v>707</v>
      </c>
      <c r="B81" t="s">
        <v>1588</v>
      </c>
      <c r="C81">
        <v>17</v>
      </c>
      <c r="D81">
        <v>2457242</v>
      </c>
      <c r="E81">
        <v>2.4572419999999999</v>
      </c>
      <c r="F81">
        <v>2200</v>
      </c>
      <c r="G81">
        <v>144543.6</v>
      </c>
      <c r="H81">
        <v>771549</v>
      </c>
    </row>
    <row r="82" spans="1:8" x14ac:dyDescent="0.25">
      <c r="A82" t="s">
        <v>708</v>
      </c>
      <c r="B82" t="s">
        <v>1588</v>
      </c>
      <c r="C82">
        <v>42</v>
      </c>
      <c r="D82">
        <v>2419142</v>
      </c>
      <c r="E82">
        <v>2.4191419999999999</v>
      </c>
      <c r="F82">
        <v>2018</v>
      </c>
      <c r="G82">
        <v>57598.6</v>
      </c>
      <c r="H82">
        <v>1983930</v>
      </c>
    </row>
    <row r="83" spans="1:8" x14ac:dyDescent="0.25">
      <c r="A83" t="s">
        <v>709</v>
      </c>
      <c r="B83" t="s">
        <v>1588</v>
      </c>
      <c r="C83">
        <v>52</v>
      </c>
      <c r="D83">
        <v>1960291</v>
      </c>
      <c r="E83">
        <v>1.960291</v>
      </c>
      <c r="F83">
        <v>2943</v>
      </c>
      <c r="G83">
        <v>37697.9</v>
      </c>
      <c r="H83">
        <v>167276</v>
      </c>
    </row>
    <row r="84" spans="1:8" x14ac:dyDescent="0.25">
      <c r="A84" t="s">
        <v>1226</v>
      </c>
      <c r="B84" t="s">
        <v>1588</v>
      </c>
      <c r="C84">
        <v>17</v>
      </c>
      <c r="D84">
        <v>2909032</v>
      </c>
      <c r="E84">
        <v>2.9090319999999998</v>
      </c>
      <c r="F84">
        <v>2805</v>
      </c>
      <c r="G84">
        <v>171119.5</v>
      </c>
      <c r="H84">
        <v>919044</v>
      </c>
    </row>
    <row r="85" spans="1:8" x14ac:dyDescent="0.25">
      <c r="A85" t="s">
        <v>1227</v>
      </c>
      <c r="B85" t="s">
        <v>1588</v>
      </c>
      <c r="C85">
        <v>26</v>
      </c>
      <c r="D85">
        <v>4481210</v>
      </c>
      <c r="E85">
        <v>4.4812099999999999</v>
      </c>
      <c r="F85">
        <v>2605</v>
      </c>
      <c r="G85">
        <v>172354.2</v>
      </c>
      <c r="H85">
        <v>1344528</v>
      </c>
    </row>
    <row r="86" spans="1:8" x14ac:dyDescent="0.25">
      <c r="A86" t="s">
        <v>1228</v>
      </c>
      <c r="B86" t="s">
        <v>1588</v>
      </c>
      <c r="C86">
        <v>70</v>
      </c>
      <c r="D86">
        <v>2573762</v>
      </c>
      <c r="E86">
        <v>2.5737619999999999</v>
      </c>
      <c r="F86">
        <v>2905</v>
      </c>
      <c r="G86">
        <v>36768</v>
      </c>
      <c r="H86">
        <v>154778</v>
      </c>
    </row>
    <row r="87" spans="1:8" x14ac:dyDescent="0.25">
      <c r="A87" t="s">
        <v>1229</v>
      </c>
      <c r="B87" t="s">
        <v>1588</v>
      </c>
      <c r="C87">
        <v>11</v>
      </c>
      <c r="D87">
        <v>2288827</v>
      </c>
      <c r="E87">
        <v>2.2888269999999999</v>
      </c>
      <c r="F87">
        <v>2720</v>
      </c>
      <c r="G87">
        <v>208075.2</v>
      </c>
      <c r="H87">
        <v>1729750</v>
      </c>
    </row>
    <row r="88" spans="1:8" x14ac:dyDescent="0.25">
      <c r="A88" t="s">
        <v>1230</v>
      </c>
      <c r="B88" t="s">
        <v>1588</v>
      </c>
      <c r="C88">
        <v>10</v>
      </c>
      <c r="D88">
        <v>2779848</v>
      </c>
      <c r="E88">
        <v>2.7798479999999999</v>
      </c>
      <c r="F88">
        <v>7183</v>
      </c>
      <c r="G88">
        <v>277984.8</v>
      </c>
      <c r="H88">
        <v>724284</v>
      </c>
    </row>
    <row r="89" spans="1:8" x14ac:dyDescent="0.25">
      <c r="A89" t="s">
        <v>1231</v>
      </c>
      <c r="B89" t="s">
        <v>1588</v>
      </c>
      <c r="C89">
        <v>2</v>
      </c>
      <c r="D89">
        <v>2724467</v>
      </c>
      <c r="E89">
        <v>2.7244670000000002</v>
      </c>
      <c r="F89">
        <v>107678</v>
      </c>
      <c r="G89">
        <v>1362233.5</v>
      </c>
      <c r="H89">
        <v>2616789</v>
      </c>
    </row>
    <row r="90" spans="1:8" x14ac:dyDescent="0.25">
      <c r="A90" t="s">
        <v>1232</v>
      </c>
      <c r="B90" t="s">
        <v>1588</v>
      </c>
      <c r="C90">
        <v>38</v>
      </c>
      <c r="D90">
        <v>2340573</v>
      </c>
      <c r="E90">
        <v>2.340573</v>
      </c>
      <c r="F90">
        <v>3468</v>
      </c>
      <c r="G90">
        <v>61594</v>
      </c>
      <c r="H90">
        <v>285257</v>
      </c>
    </row>
    <row r="91" spans="1:8" x14ac:dyDescent="0.25">
      <c r="A91" t="s">
        <v>1233</v>
      </c>
      <c r="B91" t="s">
        <v>1588</v>
      </c>
      <c r="C91">
        <v>14</v>
      </c>
      <c r="D91">
        <v>3122550</v>
      </c>
      <c r="E91">
        <v>3.1225499999999999</v>
      </c>
      <c r="F91">
        <v>2893</v>
      </c>
      <c r="G91">
        <v>223039.3</v>
      </c>
      <c r="H91">
        <v>744431</v>
      </c>
    </row>
    <row r="92" spans="1:8" x14ac:dyDescent="0.25">
      <c r="A92" t="s">
        <v>1234</v>
      </c>
      <c r="B92" t="s">
        <v>1588</v>
      </c>
      <c r="C92">
        <v>16</v>
      </c>
      <c r="D92">
        <v>847774</v>
      </c>
      <c r="E92">
        <v>0.84777400000000003</v>
      </c>
      <c r="F92">
        <v>2568</v>
      </c>
      <c r="G92">
        <v>52985.9</v>
      </c>
      <c r="H92">
        <v>349804</v>
      </c>
    </row>
    <row r="93" spans="1:8" x14ac:dyDescent="0.25">
      <c r="A93" t="s">
        <v>1235</v>
      </c>
      <c r="B93" t="s">
        <v>1588</v>
      </c>
      <c r="C93">
        <v>9</v>
      </c>
      <c r="D93">
        <v>1465342</v>
      </c>
      <c r="E93">
        <v>1.4653419999999999</v>
      </c>
      <c r="F93">
        <v>4260</v>
      </c>
      <c r="G93">
        <v>162815.79999999999</v>
      </c>
      <c r="H93">
        <v>319920</v>
      </c>
    </row>
    <row r="94" spans="1:8" x14ac:dyDescent="0.25">
      <c r="A94" t="s">
        <v>1236</v>
      </c>
      <c r="B94" t="s">
        <v>1588</v>
      </c>
      <c r="C94">
        <v>7</v>
      </c>
      <c r="D94">
        <v>1544738</v>
      </c>
      <c r="E94">
        <v>1.5447379999999999</v>
      </c>
      <c r="F94">
        <v>10674</v>
      </c>
      <c r="G94">
        <v>220676.9</v>
      </c>
      <c r="H94">
        <v>743256</v>
      </c>
    </row>
    <row r="95" spans="1:8" x14ac:dyDescent="0.25">
      <c r="A95" t="s">
        <v>1237</v>
      </c>
      <c r="B95" t="s">
        <v>1588</v>
      </c>
      <c r="C95">
        <v>20</v>
      </c>
      <c r="D95">
        <v>1373627</v>
      </c>
      <c r="E95">
        <v>1.3736269999999999</v>
      </c>
      <c r="F95">
        <v>2407</v>
      </c>
      <c r="G95">
        <v>68681.399999999994</v>
      </c>
      <c r="H95">
        <v>377867</v>
      </c>
    </row>
    <row r="96" spans="1:8" x14ac:dyDescent="0.25">
      <c r="A96" t="s">
        <v>1238</v>
      </c>
      <c r="B96" t="s">
        <v>1588</v>
      </c>
      <c r="C96">
        <v>9</v>
      </c>
      <c r="D96">
        <v>1464707</v>
      </c>
      <c r="E96">
        <v>1.464707</v>
      </c>
      <c r="F96">
        <v>3133</v>
      </c>
      <c r="G96">
        <v>162745.20000000001</v>
      </c>
      <c r="H96">
        <v>540636</v>
      </c>
    </row>
    <row r="97" spans="1:8" x14ac:dyDescent="0.25">
      <c r="A97" t="s">
        <v>1239</v>
      </c>
      <c r="B97" t="s">
        <v>1588</v>
      </c>
      <c r="C97">
        <v>237</v>
      </c>
      <c r="D97">
        <v>3903188</v>
      </c>
      <c r="E97">
        <v>3.9031880000000001</v>
      </c>
      <c r="F97">
        <v>2013</v>
      </c>
      <c r="G97">
        <v>16469.099999999999</v>
      </c>
      <c r="H97">
        <v>969119</v>
      </c>
    </row>
    <row r="98" spans="1:8" x14ac:dyDescent="0.25">
      <c r="A98" t="s">
        <v>1240</v>
      </c>
      <c r="B98" t="s">
        <v>1588</v>
      </c>
      <c r="C98">
        <v>34</v>
      </c>
      <c r="D98">
        <v>1005793</v>
      </c>
      <c r="E98">
        <v>1.0057929999999999</v>
      </c>
      <c r="F98">
        <v>2513</v>
      </c>
      <c r="G98">
        <v>29582.1</v>
      </c>
      <c r="H98">
        <v>155118</v>
      </c>
    </row>
    <row r="99" spans="1:8" x14ac:dyDescent="0.25">
      <c r="A99" t="s">
        <v>1241</v>
      </c>
      <c r="B99" t="s">
        <v>1588</v>
      </c>
      <c r="C99">
        <v>40</v>
      </c>
      <c r="D99">
        <v>2506502</v>
      </c>
      <c r="E99">
        <v>2.5065019999999998</v>
      </c>
      <c r="F99">
        <v>2239</v>
      </c>
      <c r="G99">
        <v>62662.6</v>
      </c>
      <c r="H99">
        <v>754682</v>
      </c>
    </row>
    <row r="100" spans="1:8" x14ac:dyDescent="0.25">
      <c r="A100" t="s">
        <v>1242</v>
      </c>
      <c r="B100" t="s">
        <v>1588</v>
      </c>
      <c r="C100">
        <v>13</v>
      </c>
      <c r="D100">
        <v>2015193</v>
      </c>
      <c r="E100">
        <v>2.015193</v>
      </c>
      <c r="F100">
        <v>2045</v>
      </c>
      <c r="G100">
        <v>155014.79999999999</v>
      </c>
      <c r="H100">
        <v>1090907</v>
      </c>
    </row>
    <row r="101" spans="1:8" x14ac:dyDescent="0.25">
      <c r="A101" t="s">
        <v>1243</v>
      </c>
      <c r="B101" t="s">
        <v>1588</v>
      </c>
      <c r="C101">
        <v>1</v>
      </c>
      <c r="D101">
        <v>1912579</v>
      </c>
      <c r="E101">
        <v>1.912579</v>
      </c>
      <c r="F101">
        <v>1912579</v>
      </c>
      <c r="G101">
        <v>1912579</v>
      </c>
      <c r="H101">
        <v>1912579</v>
      </c>
    </row>
    <row r="102" spans="1:8" x14ac:dyDescent="0.25">
      <c r="A102" t="s">
        <v>1244</v>
      </c>
      <c r="B102" t="s">
        <v>1588</v>
      </c>
      <c r="C102">
        <v>3</v>
      </c>
      <c r="D102">
        <v>1321102</v>
      </c>
      <c r="E102">
        <v>1.321102</v>
      </c>
      <c r="F102">
        <v>70528</v>
      </c>
      <c r="G102">
        <v>440367.3</v>
      </c>
      <c r="H102">
        <v>651001</v>
      </c>
    </row>
    <row r="103" spans="1:8" x14ac:dyDescent="0.25">
      <c r="A103" t="s">
        <v>1245</v>
      </c>
      <c r="B103" t="s">
        <v>1588</v>
      </c>
      <c r="C103">
        <v>3</v>
      </c>
      <c r="D103">
        <v>1157277</v>
      </c>
      <c r="E103">
        <v>1.1572769999999999</v>
      </c>
      <c r="F103">
        <v>108726</v>
      </c>
      <c r="G103">
        <v>385759</v>
      </c>
      <c r="H103">
        <v>720832</v>
      </c>
    </row>
    <row r="104" spans="1:8" x14ac:dyDescent="0.25">
      <c r="A104" t="s">
        <v>7</v>
      </c>
      <c r="B104" t="s">
        <v>1589</v>
      </c>
      <c r="C104">
        <v>250</v>
      </c>
      <c r="D104">
        <v>2872519</v>
      </c>
      <c r="E104">
        <v>2.872519</v>
      </c>
      <c r="F104">
        <v>2021</v>
      </c>
      <c r="G104">
        <v>11490.1</v>
      </c>
      <c r="H104">
        <v>145626</v>
      </c>
    </row>
    <row r="105" spans="1:8" x14ac:dyDescent="0.25">
      <c r="A105" t="s">
        <v>8</v>
      </c>
      <c r="B105" t="s">
        <v>1589</v>
      </c>
      <c r="C105">
        <v>14</v>
      </c>
      <c r="D105">
        <v>3291782</v>
      </c>
      <c r="E105">
        <v>3.291782</v>
      </c>
      <c r="F105">
        <v>15429</v>
      </c>
      <c r="G105">
        <v>235127.3</v>
      </c>
      <c r="H105">
        <v>544383</v>
      </c>
    </row>
    <row r="106" spans="1:8" x14ac:dyDescent="0.25">
      <c r="A106" t="s">
        <v>9</v>
      </c>
      <c r="B106" t="s">
        <v>1589</v>
      </c>
      <c r="C106">
        <v>281</v>
      </c>
      <c r="D106">
        <v>2832718</v>
      </c>
      <c r="E106">
        <v>2.8327179999999998</v>
      </c>
      <c r="F106">
        <v>2005</v>
      </c>
      <c r="G106">
        <v>10080.799999999999</v>
      </c>
      <c r="H106">
        <v>225162</v>
      </c>
    </row>
    <row r="107" spans="1:8" x14ac:dyDescent="0.25">
      <c r="A107" t="s">
        <v>10</v>
      </c>
      <c r="B107" t="s">
        <v>1589</v>
      </c>
      <c r="C107">
        <v>28</v>
      </c>
      <c r="D107">
        <v>3001529</v>
      </c>
      <c r="E107">
        <v>3.0015290000000001</v>
      </c>
      <c r="F107">
        <v>9876</v>
      </c>
      <c r="G107">
        <v>107197.5</v>
      </c>
      <c r="H107">
        <v>367263</v>
      </c>
    </row>
    <row r="108" spans="1:8" x14ac:dyDescent="0.25">
      <c r="A108" t="s">
        <v>11</v>
      </c>
      <c r="B108" t="s">
        <v>1589</v>
      </c>
      <c r="C108">
        <v>37</v>
      </c>
      <c r="D108">
        <v>2923018</v>
      </c>
      <c r="E108">
        <v>2.9230179999999999</v>
      </c>
      <c r="F108">
        <v>2088</v>
      </c>
      <c r="G108">
        <v>79000.5</v>
      </c>
      <c r="H108">
        <v>536775</v>
      </c>
    </row>
    <row r="109" spans="1:8" x14ac:dyDescent="0.25">
      <c r="A109" t="s">
        <v>12</v>
      </c>
      <c r="B109" t="s">
        <v>1589</v>
      </c>
      <c r="C109">
        <v>8</v>
      </c>
      <c r="D109">
        <v>3328515</v>
      </c>
      <c r="E109">
        <v>3.3285149999999999</v>
      </c>
      <c r="F109">
        <v>2321</v>
      </c>
      <c r="G109">
        <v>416064.4</v>
      </c>
      <c r="H109">
        <v>1654587</v>
      </c>
    </row>
    <row r="110" spans="1:8" x14ac:dyDescent="0.25">
      <c r="A110" t="s">
        <v>13</v>
      </c>
      <c r="B110" t="s">
        <v>1589</v>
      </c>
      <c r="C110">
        <v>9</v>
      </c>
      <c r="D110">
        <v>2655306</v>
      </c>
      <c r="E110">
        <v>2.6553059999999999</v>
      </c>
      <c r="F110">
        <v>5077</v>
      </c>
      <c r="G110">
        <v>295034</v>
      </c>
      <c r="H110">
        <v>1181077</v>
      </c>
    </row>
    <row r="111" spans="1:8" x14ac:dyDescent="0.25">
      <c r="A111" t="s">
        <v>14</v>
      </c>
      <c r="B111" t="s">
        <v>1589</v>
      </c>
      <c r="C111">
        <v>17</v>
      </c>
      <c r="D111">
        <v>1071445</v>
      </c>
      <c r="E111">
        <v>1.071445</v>
      </c>
      <c r="F111">
        <v>12655</v>
      </c>
      <c r="G111">
        <v>63026.2</v>
      </c>
      <c r="H111">
        <v>223284</v>
      </c>
    </row>
    <row r="112" spans="1:8" x14ac:dyDescent="0.25">
      <c r="A112" t="s">
        <v>15</v>
      </c>
      <c r="B112" t="s">
        <v>1589</v>
      </c>
      <c r="C112">
        <v>74</v>
      </c>
      <c r="D112">
        <v>1436548</v>
      </c>
      <c r="E112">
        <v>1.4365479999999999</v>
      </c>
      <c r="F112">
        <v>2030</v>
      </c>
      <c r="G112">
        <v>19412.8</v>
      </c>
      <c r="H112">
        <v>89974</v>
      </c>
    </row>
    <row r="113" spans="1:8" x14ac:dyDescent="0.25">
      <c r="A113" t="s">
        <v>16</v>
      </c>
      <c r="B113" t="s">
        <v>1589</v>
      </c>
      <c r="C113">
        <v>11</v>
      </c>
      <c r="D113">
        <v>2275289</v>
      </c>
      <c r="E113">
        <v>2.2752889999999999</v>
      </c>
      <c r="F113">
        <v>2103</v>
      </c>
      <c r="G113">
        <v>206844.5</v>
      </c>
      <c r="H113">
        <v>649827</v>
      </c>
    </row>
    <row r="114" spans="1:8" x14ac:dyDescent="0.25">
      <c r="A114" t="s">
        <v>17</v>
      </c>
      <c r="B114" t="s">
        <v>1589</v>
      </c>
      <c r="C114">
        <v>13</v>
      </c>
      <c r="D114">
        <v>1786246</v>
      </c>
      <c r="E114">
        <v>1.786246</v>
      </c>
      <c r="F114">
        <v>2504</v>
      </c>
      <c r="G114">
        <v>137403.5</v>
      </c>
      <c r="H114">
        <v>463335</v>
      </c>
    </row>
    <row r="115" spans="1:8" x14ac:dyDescent="0.25">
      <c r="A115" t="s">
        <v>18</v>
      </c>
      <c r="B115" t="s">
        <v>1589</v>
      </c>
      <c r="C115">
        <v>96</v>
      </c>
      <c r="D115">
        <v>1410462</v>
      </c>
      <c r="E115">
        <v>1.4104620000000001</v>
      </c>
      <c r="F115">
        <v>2030</v>
      </c>
      <c r="G115">
        <v>14692.3</v>
      </c>
      <c r="H115">
        <v>111707</v>
      </c>
    </row>
    <row r="116" spans="1:8" x14ac:dyDescent="0.25">
      <c r="A116" t="s">
        <v>19</v>
      </c>
      <c r="B116" t="s">
        <v>1589</v>
      </c>
      <c r="C116">
        <v>161</v>
      </c>
      <c r="D116">
        <v>3078816</v>
      </c>
      <c r="E116">
        <v>3.0788160000000002</v>
      </c>
      <c r="F116">
        <v>2004</v>
      </c>
      <c r="G116">
        <v>19123.099999999999</v>
      </c>
      <c r="H116">
        <v>176551</v>
      </c>
    </row>
    <row r="117" spans="1:8" x14ac:dyDescent="0.25">
      <c r="A117" t="s">
        <v>20</v>
      </c>
      <c r="B117" t="s">
        <v>1589</v>
      </c>
      <c r="C117">
        <v>133</v>
      </c>
      <c r="D117">
        <v>5072072</v>
      </c>
      <c r="E117">
        <v>5.0720720000000004</v>
      </c>
      <c r="F117">
        <v>2024</v>
      </c>
      <c r="G117">
        <v>38135.9</v>
      </c>
      <c r="H117">
        <v>270796</v>
      </c>
    </row>
    <row r="118" spans="1:8" x14ac:dyDescent="0.25">
      <c r="A118" t="s">
        <v>21</v>
      </c>
      <c r="B118" t="s">
        <v>1589</v>
      </c>
      <c r="C118">
        <v>32</v>
      </c>
      <c r="D118">
        <v>4009777</v>
      </c>
      <c r="E118">
        <v>4.0097769999999997</v>
      </c>
      <c r="F118">
        <v>3512</v>
      </c>
      <c r="G118">
        <v>125305.5</v>
      </c>
      <c r="H118">
        <v>655859</v>
      </c>
    </row>
    <row r="119" spans="1:8" x14ac:dyDescent="0.25">
      <c r="A119" t="s">
        <v>22</v>
      </c>
      <c r="B119" t="s">
        <v>1589</v>
      </c>
      <c r="C119">
        <v>498</v>
      </c>
      <c r="D119">
        <v>3149624</v>
      </c>
      <c r="E119">
        <v>3.1496240000000002</v>
      </c>
      <c r="F119">
        <v>2004</v>
      </c>
      <c r="G119">
        <v>6324.5</v>
      </c>
      <c r="H119">
        <v>51892</v>
      </c>
    </row>
    <row r="120" spans="1:8" x14ac:dyDescent="0.25">
      <c r="A120" t="s">
        <v>23</v>
      </c>
      <c r="B120" t="s">
        <v>1589</v>
      </c>
      <c r="C120">
        <v>393</v>
      </c>
      <c r="D120">
        <v>3512153</v>
      </c>
      <c r="E120">
        <v>3.5121530000000001</v>
      </c>
      <c r="F120">
        <v>2010</v>
      </c>
      <c r="G120">
        <v>8936.7999999999993</v>
      </c>
      <c r="H120">
        <v>219757</v>
      </c>
    </row>
    <row r="121" spans="1:8" x14ac:dyDescent="0.25">
      <c r="A121" t="s">
        <v>24</v>
      </c>
      <c r="B121" t="s">
        <v>1589</v>
      </c>
      <c r="C121">
        <v>148</v>
      </c>
      <c r="D121">
        <v>6151966</v>
      </c>
      <c r="E121">
        <v>6.1519659999999998</v>
      </c>
      <c r="F121">
        <v>2182</v>
      </c>
      <c r="G121">
        <v>41567.300000000003</v>
      </c>
      <c r="H121">
        <v>259361</v>
      </c>
    </row>
    <row r="122" spans="1:8" x14ac:dyDescent="0.25">
      <c r="A122" t="s">
        <v>25</v>
      </c>
      <c r="B122" t="s">
        <v>1589</v>
      </c>
      <c r="C122">
        <v>23</v>
      </c>
      <c r="D122">
        <v>6730714</v>
      </c>
      <c r="E122">
        <v>6.7307139999999999</v>
      </c>
      <c r="F122">
        <v>2153</v>
      </c>
      <c r="G122">
        <v>292639.7</v>
      </c>
      <c r="H122">
        <v>1188601</v>
      </c>
    </row>
    <row r="123" spans="1:8" x14ac:dyDescent="0.25">
      <c r="A123" t="s">
        <v>26</v>
      </c>
      <c r="B123" t="s">
        <v>1589</v>
      </c>
      <c r="C123">
        <v>75</v>
      </c>
      <c r="D123">
        <v>6081025</v>
      </c>
      <c r="E123">
        <v>6.0810250000000003</v>
      </c>
      <c r="F123">
        <v>2022</v>
      </c>
      <c r="G123">
        <v>81080.3</v>
      </c>
      <c r="H123">
        <v>391679</v>
      </c>
    </row>
    <row r="124" spans="1:8" x14ac:dyDescent="0.25">
      <c r="A124" t="s">
        <v>27</v>
      </c>
      <c r="B124" t="s">
        <v>1589</v>
      </c>
      <c r="C124">
        <v>78</v>
      </c>
      <c r="D124">
        <v>6060794</v>
      </c>
      <c r="E124">
        <v>6.0607939999999996</v>
      </c>
      <c r="F124">
        <v>2052</v>
      </c>
      <c r="G124">
        <v>77702.5</v>
      </c>
      <c r="H124">
        <v>643421</v>
      </c>
    </row>
    <row r="125" spans="1:8" x14ac:dyDescent="0.25">
      <c r="A125" t="s">
        <v>28</v>
      </c>
      <c r="B125" t="s">
        <v>1589</v>
      </c>
      <c r="C125">
        <v>27</v>
      </c>
      <c r="D125">
        <v>4914522</v>
      </c>
      <c r="E125">
        <v>4.9145219999999998</v>
      </c>
      <c r="F125">
        <v>8529</v>
      </c>
      <c r="G125">
        <v>182019.3</v>
      </c>
      <c r="H125">
        <v>794070</v>
      </c>
    </row>
    <row r="126" spans="1:8" x14ac:dyDescent="0.25">
      <c r="A126" t="s">
        <v>29</v>
      </c>
      <c r="B126" t="s">
        <v>1589</v>
      </c>
      <c r="C126">
        <v>14</v>
      </c>
      <c r="D126">
        <v>7290898</v>
      </c>
      <c r="E126">
        <v>7.2908980000000003</v>
      </c>
      <c r="F126">
        <v>71840</v>
      </c>
      <c r="G126">
        <v>520778.4</v>
      </c>
      <c r="H126">
        <v>1984746</v>
      </c>
    </row>
    <row r="127" spans="1:8" x14ac:dyDescent="0.25">
      <c r="A127" t="s">
        <v>30</v>
      </c>
      <c r="B127" t="s">
        <v>1589</v>
      </c>
      <c r="C127">
        <v>896</v>
      </c>
      <c r="D127">
        <v>3647413</v>
      </c>
      <c r="E127">
        <v>3.6474129999999998</v>
      </c>
      <c r="F127">
        <v>2002</v>
      </c>
      <c r="G127">
        <v>4070.8</v>
      </c>
      <c r="H127">
        <v>44722</v>
      </c>
    </row>
    <row r="128" spans="1:8" x14ac:dyDescent="0.25">
      <c r="A128" t="s">
        <v>31</v>
      </c>
      <c r="B128" t="s">
        <v>1589</v>
      </c>
      <c r="C128">
        <v>28</v>
      </c>
      <c r="D128">
        <v>2507505</v>
      </c>
      <c r="E128">
        <v>2.5075050000000001</v>
      </c>
      <c r="F128">
        <v>9557</v>
      </c>
      <c r="G128">
        <v>89553.8</v>
      </c>
      <c r="H128">
        <v>210999</v>
      </c>
    </row>
    <row r="129" spans="1:8" x14ac:dyDescent="0.25">
      <c r="A129" t="s">
        <v>32</v>
      </c>
      <c r="B129" t="s">
        <v>1589</v>
      </c>
      <c r="C129">
        <v>92</v>
      </c>
      <c r="D129">
        <v>2016676</v>
      </c>
      <c r="E129">
        <v>2.0166759999999999</v>
      </c>
      <c r="F129">
        <v>2005</v>
      </c>
      <c r="G129">
        <v>21920.400000000001</v>
      </c>
      <c r="H129">
        <v>245161</v>
      </c>
    </row>
    <row r="130" spans="1:8" x14ac:dyDescent="0.25">
      <c r="A130" t="s">
        <v>33</v>
      </c>
      <c r="B130" t="s">
        <v>1589</v>
      </c>
      <c r="C130">
        <v>343</v>
      </c>
      <c r="D130">
        <v>1677691</v>
      </c>
      <c r="E130">
        <v>1.677691</v>
      </c>
      <c r="F130">
        <v>2010</v>
      </c>
      <c r="G130">
        <v>4891.2</v>
      </c>
      <c r="H130">
        <v>64820</v>
      </c>
    </row>
    <row r="131" spans="1:8" x14ac:dyDescent="0.25">
      <c r="A131" t="s">
        <v>34</v>
      </c>
      <c r="B131" t="s">
        <v>1589</v>
      </c>
      <c r="C131">
        <v>45</v>
      </c>
      <c r="D131">
        <v>1635790</v>
      </c>
      <c r="E131">
        <v>1.6357900000000001</v>
      </c>
      <c r="F131">
        <v>2027</v>
      </c>
      <c r="G131">
        <v>36350.9</v>
      </c>
      <c r="H131">
        <v>164512</v>
      </c>
    </row>
    <row r="132" spans="1:8" x14ac:dyDescent="0.25">
      <c r="A132" t="s">
        <v>35</v>
      </c>
      <c r="B132" t="s">
        <v>1589</v>
      </c>
      <c r="C132">
        <v>24</v>
      </c>
      <c r="D132">
        <v>2979542</v>
      </c>
      <c r="E132">
        <v>2.9795419999999999</v>
      </c>
      <c r="F132">
        <v>6546</v>
      </c>
      <c r="G132">
        <v>124147.6</v>
      </c>
      <c r="H132">
        <v>391632</v>
      </c>
    </row>
    <row r="133" spans="1:8" x14ac:dyDescent="0.25">
      <c r="A133" t="s">
        <v>36</v>
      </c>
      <c r="B133" t="s">
        <v>1589</v>
      </c>
      <c r="C133">
        <v>17</v>
      </c>
      <c r="D133">
        <v>3677234</v>
      </c>
      <c r="E133">
        <v>3.6772339999999999</v>
      </c>
      <c r="F133">
        <v>6195</v>
      </c>
      <c r="G133">
        <v>216307.9</v>
      </c>
      <c r="H133">
        <v>573555</v>
      </c>
    </row>
    <row r="134" spans="1:8" x14ac:dyDescent="0.25">
      <c r="A134" t="s">
        <v>37</v>
      </c>
      <c r="B134" t="s">
        <v>1589</v>
      </c>
      <c r="C134">
        <v>154</v>
      </c>
      <c r="D134">
        <v>3549926</v>
      </c>
      <c r="E134">
        <v>3.5499260000000001</v>
      </c>
      <c r="F134">
        <v>2016</v>
      </c>
      <c r="G134">
        <v>23051.5</v>
      </c>
      <c r="H134">
        <v>244058</v>
      </c>
    </row>
    <row r="135" spans="1:8" x14ac:dyDescent="0.25">
      <c r="A135" t="s">
        <v>38</v>
      </c>
      <c r="B135" t="s">
        <v>1589</v>
      </c>
      <c r="C135">
        <v>193</v>
      </c>
      <c r="D135">
        <v>1463987</v>
      </c>
      <c r="E135">
        <v>1.4639869999999999</v>
      </c>
      <c r="F135">
        <v>2003</v>
      </c>
      <c r="G135">
        <v>7585.4</v>
      </c>
      <c r="H135">
        <v>118573</v>
      </c>
    </row>
    <row r="136" spans="1:8" x14ac:dyDescent="0.25">
      <c r="A136" t="s">
        <v>39</v>
      </c>
      <c r="B136" t="s">
        <v>1589</v>
      </c>
      <c r="C136">
        <v>17</v>
      </c>
      <c r="D136">
        <v>3153219</v>
      </c>
      <c r="E136">
        <v>3.153219</v>
      </c>
      <c r="F136">
        <v>6537</v>
      </c>
      <c r="G136">
        <v>185483.5</v>
      </c>
      <c r="H136">
        <v>500866</v>
      </c>
    </row>
    <row r="137" spans="1:8" x14ac:dyDescent="0.25">
      <c r="A137" t="s">
        <v>40</v>
      </c>
      <c r="B137" t="s">
        <v>1589</v>
      </c>
      <c r="C137">
        <v>54</v>
      </c>
      <c r="D137">
        <v>2416404</v>
      </c>
      <c r="E137">
        <v>2.416404</v>
      </c>
      <c r="F137">
        <v>3893</v>
      </c>
      <c r="G137">
        <v>44748.2</v>
      </c>
      <c r="H137">
        <v>229983</v>
      </c>
    </row>
    <row r="138" spans="1:8" x14ac:dyDescent="0.25">
      <c r="A138" t="s">
        <v>41</v>
      </c>
      <c r="B138" t="s">
        <v>1589</v>
      </c>
      <c r="C138">
        <v>68</v>
      </c>
      <c r="D138">
        <v>3380946</v>
      </c>
      <c r="E138">
        <v>3.3809459999999998</v>
      </c>
      <c r="F138">
        <v>2557</v>
      </c>
      <c r="G138">
        <v>49719.8</v>
      </c>
      <c r="H138">
        <v>213183</v>
      </c>
    </row>
    <row r="139" spans="1:8" x14ac:dyDescent="0.25">
      <c r="A139" t="s">
        <v>237</v>
      </c>
      <c r="B139" t="s">
        <v>1589</v>
      </c>
      <c r="C139">
        <v>92</v>
      </c>
      <c r="D139">
        <v>2431099</v>
      </c>
      <c r="E139">
        <v>2.4310990000000001</v>
      </c>
      <c r="F139">
        <v>2003</v>
      </c>
      <c r="G139">
        <v>26425</v>
      </c>
      <c r="H139">
        <v>121456</v>
      </c>
    </row>
    <row r="140" spans="1:8" x14ac:dyDescent="0.25">
      <c r="A140" t="s">
        <v>238</v>
      </c>
      <c r="B140" t="s">
        <v>1589</v>
      </c>
      <c r="C140">
        <v>99</v>
      </c>
      <c r="D140">
        <v>3753984</v>
      </c>
      <c r="E140">
        <v>3.753984</v>
      </c>
      <c r="F140">
        <v>2225</v>
      </c>
      <c r="G140">
        <v>37919</v>
      </c>
      <c r="H140">
        <v>229578</v>
      </c>
    </row>
    <row r="141" spans="1:8" x14ac:dyDescent="0.25">
      <c r="A141" t="s">
        <v>239</v>
      </c>
      <c r="B141" t="s">
        <v>1589</v>
      </c>
      <c r="C141">
        <v>262</v>
      </c>
      <c r="D141">
        <v>2680470</v>
      </c>
      <c r="E141">
        <v>2.6804700000000001</v>
      </c>
      <c r="F141">
        <v>2002</v>
      </c>
      <c r="G141">
        <v>10230.799999999999</v>
      </c>
      <c r="H141">
        <v>134377</v>
      </c>
    </row>
    <row r="142" spans="1:8" x14ac:dyDescent="0.25">
      <c r="A142" t="s">
        <v>240</v>
      </c>
      <c r="B142" t="s">
        <v>1589</v>
      </c>
      <c r="C142">
        <v>53</v>
      </c>
      <c r="D142">
        <v>2460609</v>
      </c>
      <c r="E142">
        <v>2.4606089999999998</v>
      </c>
      <c r="F142">
        <v>2042</v>
      </c>
      <c r="G142">
        <v>46426.6</v>
      </c>
      <c r="H142">
        <v>272842</v>
      </c>
    </row>
    <row r="143" spans="1:8" x14ac:dyDescent="0.25">
      <c r="A143" t="s">
        <v>241</v>
      </c>
      <c r="B143" t="s">
        <v>1589</v>
      </c>
      <c r="C143">
        <v>38</v>
      </c>
      <c r="D143">
        <v>1972766</v>
      </c>
      <c r="E143">
        <v>1.972766</v>
      </c>
      <c r="F143">
        <v>2233</v>
      </c>
      <c r="G143">
        <v>51914.9</v>
      </c>
      <c r="H143">
        <v>277003</v>
      </c>
    </row>
    <row r="144" spans="1:8" x14ac:dyDescent="0.25">
      <c r="A144" t="s">
        <v>242</v>
      </c>
      <c r="B144" t="s">
        <v>1589</v>
      </c>
      <c r="C144">
        <v>35</v>
      </c>
      <c r="D144">
        <v>2163913</v>
      </c>
      <c r="E144">
        <v>2.163913</v>
      </c>
      <c r="F144">
        <v>3551</v>
      </c>
      <c r="G144">
        <v>61826.1</v>
      </c>
      <c r="H144">
        <v>376968</v>
      </c>
    </row>
    <row r="145" spans="1:8" x14ac:dyDescent="0.25">
      <c r="A145" t="s">
        <v>243</v>
      </c>
      <c r="B145" t="s">
        <v>1589</v>
      </c>
      <c r="C145">
        <v>39</v>
      </c>
      <c r="D145">
        <v>2907370</v>
      </c>
      <c r="E145">
        <v>2.9073699999999998</v>
      </c>
      <c r="F145">
        <v>6404</v>
      </c>
      <c r="G145">
        <v>74547.899999999994</v>
      </c>
      <c r="H145">
        <v>236516</v>
      </c>
    </row>
    <row r="146" spans="1:8" x14ac:dyDescent="0.25">
      <c r="A146" t="s">
        <v>244</v>
      </c>
      <c r="B146" t="s">
        <v>1589</v>
      </c>
      <c r="C146">
        <v>40</v>
      </c>
      <c r="D146">
        <v>2675799</v>
      </c>
      <c r="E146">
        <v>2.675799</v>
      </c>
      <c r="F146">
        <v>2469</v>
      </c>
      <c r="G146">
        <v>66895</v>
      </c>
      <c r="H146">
        <v>203294</v>
      </c>
    </row>
    <row r="147" spans="1:8" x14ac:dyDescent="0.25">
      <c r="A147" t="s">
        <v>245</v>
      </c>
      <c r="B147" t="s">
        <v>1589</v>
      </c>
      <c r="C147">
        <v>16</v>
      </c>
      <c r="D147">
        <v>2720630</v>
      </c>
      <c r="E147">
        <v>2.7206299999999999</v>
      </c>
      <c r="F147">
        <v>4612</v>
      </c>
      <c r="G147">
        <v>170039.4</v>
      </c>
      <c r="H147">
        <v>477243</v>
      </c>
    </row>
    <row r="148" spans="1:8" x14ac:dyDescent="0.25">
      <c r="A148" t="s">
        <v>246</v>
      </c>
      <c r="B148" t="s">
        <v>1589</v>
      </c>
      <c r="C148">
        <v>70</v>
      </c>
      <c r="D148">
        <v>2033310</v>
      </c>
      <c r="E148">
        <v>2.0333100000000002</v>
      </c>
      <c r="F148">
        <v>2037</v>
      </c>
      <c r="G148">
        <v>29047.3</v>
      </c>
      <c r="H148">
        <v>107963</v>
      </c>
    </row>
    <row r="149" spans="1:8" x14ac:dyDescent="0.25">
      <c r="A149" t="s">
        <v>247</v>
      </c>
      <c r="B149" t="s">
        <v>1589</v>
      </c>
      <c r="C149">
        <v>45</v>
      </c>
      <c r="D149">
        <v>2778870</v>
      </c>
      <c r="E149">
        <v>2.77887</v>
      </c>
      <c r="F149">
        <v>2384</v>
      </c>
      <c r="G149">
        <v>61752.7</v>
      </c>
      <c r="H149">
        <v>222383</v>
      </c>
    </row>
    <row r="150" spans="1:8" x14ac:dyDescent="0.25">
      <c r="A150" t="s">
        <v>248</v>
      </c>
      <c r="B150" t="s">
        <v>1589</v>
      </c>
      <c r="C150">
        <v>110</v>
      </c>
      <c r="D150">
        <v>2015507</v>
      </c>
      <c r="E150">
        <v>2.0155069999999999</v>
      </c>
      <c r="F150">
        <v>2025</v>
      </c>
      <c r="G150">
        <v>18322.8</v>
      </c>
      <c r="H150">
        <v>240530</v>
      </c>
    </row>
    <row r="151" spans="1:8" x14ac:dyDescent="0.25">
      <c r="A151" t="s">
        <v>249</v>
      </c>
      <c r="B151" t="s">
        <v>1589</v>
      </c>
      <c r="C151">
        <v>46</v>
      </c>
      <c r="D151">
        <v>1844599</v>
      </c>
      <c r="E151">
        <v>1.8445990000000001</v>
      </c>
      <c r="F151">
        <v>4272</v>
      </c>
      <c r="G151">
        <v>40100</v>
      </c>
      <c r="H151">
        <v>148927</v>
      </c>
    </row>
    <row r="152" spans="1:8" x14ac:dyDescent="0.25">
      <c r="A152" t="s">
        <v>250</v>
      </c>
      <c r="B152" t="s">
        <v>1589</v>
      </c>
      <c r="C152">
        <v>41</v>
      </c>
      <c r="D152">
        <v>1946481</v>
      </c>
      <c r="E152">
        <v>1.9464809999999999</v>
      </c>
      <c r="F152">
        <v>2011</v>
      </c>
      <c r="G152">
        <v>47475.1</v>
      </c>
      <c r="H152">
        <v>208393</v>
      </c>
    </row>
    <row r="153" spans="1:8" x14ac:dyDescent="0.25">
      <c r="A153" t="s">
        <v>251</v>
      </c>
      <c r="B153" t="s">
        <v>1589</v>
      </c>
      <c r="C153">
        <v>15</v>
      </c>
      <c r="D153">
        <v>1621273</v>
      </c>
      <c r="E153">
        <v>1.621273</v>
      </c>
      <c r="F153">
        <v>5997</v>
      </c>
      <c r="G153">
        <v>108084.9</v>
      </c>
      <c r="H153">
        <v>345282</v>
      </c>
    </row>
    <row r="154" spans="1:8" x14ac:dyDescent="0.25">
      <c r="A154" t="s">
        <v>252</v>
      </c>
      <c r="B154" t="s">
        <v>1589</v>
      </c>
      <c r="C154">
        <v>29</v>
      </c>
      <c r="D154">
        <v>2848083</v>
      </c>
      <c r="E154">
        <v>2.8480829999999999</v>
      </c>
      <c r="F154">
        <v>2996</v>
      </c>
      <c r="G154">
        <v>98209.8</v>
      </c>
      <c r="H154">
        <v>515104</v>
      </c>
    </row>
    <row r="155" spans="1:8" x14ac:dyDescent="0.25">
      <c r="A155" t="s">
        <v>253</v>
      </c>
      <c r="B155" t="s">
        <v>1589</v>
      </c>
      <c r="C155">
        <v>36</v>
      </c>
      <c r="D155">
        <v>1524825</v>
      </c>
      <c r="E155">
        <v>1.5248250000000001</v>
      </c>
      <c r="F155">
        <v>7801</v>
      </c>
      <c r="G155">
        <v>42356.3</v>
      </c>
      <c r="H155">
        <v>226986</v>
      </c>
    </row>
    <row r="156" spans="1:8" x14ac:dyDescent="0.25">
      <c r="A156" t="s">
        <v>254</v>
      </c>
      <c r="B156" t="s">
        <v>1589</v>
      </c>
      <c r="C156">
        <v>4</v>
      </c>
      <c r="D156">
        <v>1948915</v>
      </c>
      <c r="E156">
        <v>1.948915</v>
      </c>
      <c r="F156">
        <v>210298</v>
      </c>
      <c r="G156">
        <v>487228.8</v>
      </c>
      <c r="H156">
        <v>703648</v>
      </c>
    </row>
    <row r="157" spans="1:8" x14ac:dyDescent="0.25">
      <c r="A157" t="s">
        <v>255</v>
      </c>
      <c r="B157" t="s">
        <v>1589</v>
      </c>
      <c r="C157">
        <v>72</v>
      </c>
      <c r="D157">
        <v>1559389</v>
      </c>
      <c r="E157">
        <v>1.5593889999999999</v>
      </c>
      <c r="F157">
        <v>2048</v>
      </c>
      <c r="G157">
        <v>21658.2</v>
      </c>
      <c r="H157">
        <v>122251</v>
      </c>
    </row>
    <row r="158" spans="1:8" x14ac:dyDescent="0.25">
      <c r="A158" t="s">
        <v>256</v>
      </c>
      <c r="B158" t="s">
        <v>1589</v>
      </c>
      <c r="C158">
        <v>90</v>
      </c>
      <c r="D158">
        <v>1771322</v>
      </c>
      <c r="E158">
        <v>1.7713220000000001</v>
      </c>
      <c r="F158">
        <v>2002</v>
      </c>
      <c r="G158">
        <v>19681.400000000001</v>
      </c>
      <c r="H158">
        <v>182945</v>
      </c>
    </row>
    <row r="159" spans="1:8" x14ac:dyDescent="0.25">
      <c r="A159" t="s">
        <v>257</v>
      </c>
      <c r="B159" t="s">
        <v>1589</v>
      </c>
      <c r="C159">
        <v>27</v>
      </c>
      <c r="D159">
        <v>3175992</v>
      </c>
      <c r="E159">
        <v>3.1759919999999999</v>
      </c>
      <c r="F159">
        <v>2072</v>
      </c>
      <c r="G159">
        <v>117629.3</v>
      </c>
      <c r="H159">
        <v>608066</v>
      </c>
    </row>
    <row r="160" spans="1:8" x14ac:dyDescent="0.25">
      <c r="A160" t="s">
        <v>258</v>
      </c>
      <c r="B160" t="s">
        <v>1589</v>
      </c>
      <c r="C160">
        <v>298</v>
      </c>
      <c r="D160">
        <v>2481576</v>
      </c>
      <c r="E160">
        <v>2.481576</v>
      </c>
      <c r="F160">
        <v>2004</v>
      </c>
      <c r="G160">
        <v>8327.4</v>
      </c>
      <c r="H160">
        <v>53201</v>
      </c>
    </row>
    <row r="161" spans="1:8" x14ac:dyDescent="0.25">
      <c r="A161" t="s">
        <v>259</v>
      </c>
      <c r="B161" t="s">
        <v>1589</v>
      </c>
      <c r="C161">
        <v>31</v>
      </c>
      <c r="D161">
        <v>1296450</v>
      </c>
      <c r="E161">
        <v>1.2964500000000001</v>
      </c>
      <c r="F161">
        <v>2015</v>
      </c>
      <c r="G161">
        <v>41821</v>
      </c>
      <c r="H161">
        <v>215600</v>
      </c>
    </row>
    <row r="162" spans="1:8" x14ac:dyDescent="0.25">
      <c r="A162" t="s">
        <v>260</v>
      </c>
      <c r="B162" t="s">
        <v>1589</v>
      </c>
      <c r="C162">
        <v>13</v>
      </c>
      <c r="D162">
        <v>1955853</v>
      </c>
      <c r="E162">
        <v>1.9558530000000001</v>
      </c>
      <c r="F162">
        <v>2446</v>
      </c>
      <c r="G162">
        <v>150450.20000000001</v>
      </c>
      <c r="H162">
        <v>613869</v>
      </c>
    </row>
    <row r="163" spans="1:8" x14ac:dyDescent="0.25">
      <c r="A163" t="s">
        <v>261</v>
      </c>
      <c r="B163" t="s">
        <v>1589</v>
      </c>
      <c r="C163">
        <v>30</v>
      </c>
      <c r="D163">
        <v>1629313</v>
      </c>
      <c r="E163">
        <v>1.629313</v>
      </c>
      <c r="F163">
        <v>2332</v>
      </c>
      <c r="G163">
        <v>54310.400000000001</v>
      </c>
      <c r="H163">
        <v>252086</v>
      </c>
    </row>
    <row r="164" spans="1:8" x14ac:dyDescent="0.25">
      <c r="A164" t="s">
        <v>262</v>
      </c>
      <c r="B164" t="s">
        <v>1589</v>
      </c>
      <c r="C164">
        <v>138</v>
      </c>
      <c r="D164">
        <v>1683897</v>
      </c>
      <c r="E164">
        <v>1.683897</v>
      </c>
      <c r="F164">
        <v>2048</v>
      </c>
      <c r="G164">
        <v>12202.2</v>
      </c>
      <c r="H164">
        <v>70141</v>
      </c>
    </row>
    <row r="165" spans="1:8" x14ac:dyDescent="0.25">
      <c r="A165" t="s">
        <v>263</v>
      </c>
      <c r="B165" t="s">
        <v>1589</v>
      </c>
      <c r="C165">
        <v>139</v>
      </c>
      <c r="D165">
        <v>2949251</v>
      </c>
      <c r="E165">
        <v>2.9492509999999998</v>
      </c>
      <c r="F165">
        <v>2142</v>
      </c>
      <c r="G165">
        <v>21217.599999999999</v>
      </c>
      <c r="H165">
        <v>122142</v>
      </c>
    </row>
    <row r="166" spans="1:8" x14ac:dyDescent="0.25">
      <c r="A166" t="s">
        <v>264</v>
      </c>
      <c r="B166" t="s">
        <v>1589</v>
      </c>
      <c r="C166">
        <v>6</v>
      </c>
      <c r="D166">
        <v>2117585</v>
      </c>
      <c r="E166">
        <v>2.1175850000000001</v>
      </c>
      <c r="F166">
        <v>33805</v>
      </c>
      <c r="G166">
        <v>352930.8</v>
      </c>
      <c r="H166">
        <v>1005082</v>
      </c>
    </row>
    <row r="167" spans="1:8" x14ac:dyDescent="0.25">
      <c r="A167" t="s">
        <v>265</v>
      </c>
      <c r="B167" t="s">
        <v>1589</v>
      </c>
      <c r="C167">
        <v>12</v>
      </c>
      <c r="D167">
        <v>2280229</v>
      </c>
      <c r="E167">
        <v>2.2802289999999998</v>
      </c>
      <c r="F167">
        <v>2201</v>
      </c>
      <c r="G167">
        <v>190019.1</v>
      </c>
      <c r="H167">
        <v>527129</v>
      </c>
    </row>
    <row r="168" spans="1:8" x14ac:dyDescent="0.25">
      <c r="A168" t="s">
        <v>266</v>
      </c>
      <c r="B168" t="s">
        <v>1589</v>
      </c>
      <c r="C168">
        <v>52</v>
      </c>
      <c r="D168">
        <v>2271252</v>
      </c>
      <c r="E168">
        <v>2.271252</v>
      </c>
      <c r="F168">
        <v>2133</v>
      </c>
      <c r="G168">
        <v>43677.9</v>
      </c>
      <c r="H168">
        <v>205855</v>
      </c>
    </row>
    <row r="169" spans="1:8" x14ac:dyDescent="0.25">
      <c r="A169" t="s">
        <v>267</v>
      </c>
      <c r="B169" t="s">
        <v>1589</v>
      </c>
      <c r="C169">
        <v>55</v>
      </c>
      <c r="D169">
        <v>2110729</v>
      </c>
      <c r="E169">
        <v>2.1107290000000001</v>
      </c>
      <c r="F169">
        <v>2007</v>
      </c>
      <c r="G169">
        <v>38376.9</v>
      </c>
      <c r="H169">
        <v>186305</v>
      </c>
    </row>
    <row r="170" spans="1:8" x14ac:dyDescent="0.25">
      <c r="A170" t="s">
        <v>268</v>
      </c>
      <c r="B170" t="s">
        <v>1589</v>
      </c>
      <c r="C170">
        <v>31</v>
      </c>
      <c r="D170">
        <v>1965670</v>
      </c>
      <c r="E170">
        <v>1.96567</v>
      </c>
      <c r="F170">
        <v>4381</v>
      </c>
      <c r="G170">
        <v>63408.7</v>
      </c>
      <c r="H170">
        <v>268435</v>
      </c>
    </row>
    <row r="171" spans="1:8" x14ac:dyDescent="0.25">
      <c r="A171" t="s">
        <v>269</v>
      </c>
      <c r="B171" t="s">
        <v>1589</v>
      </c>
      <c r="C171">
        <v>11</v>
      </c>
      <c r="D171">
        <v>2152514</v>
      </c>
      <c r="E171">
        <v>2.152514</v>
      </c>
      <c r="F171">
        <v>77489</v>
      </c>
      <c r="G171">
        <v>195683.1</v>
      </c>
      <c r="H171">
        <v>349751</v>
      </c>
    </row>
    <row r="172" spans="1:8" x14ac:dyDescent="0.25">
      <c r="A172" t="s">
        <v>270</v>
      </c>
      <c r="B172" t="s">
        <v>1589</v>
      </c>
      <c r="C172">
        <v>14</v>
      </c>
      <c r="D172">
        <v>1714752</v>
      </c>
      <c r="E172">
        <v>1.7147520000000001</v>
      </c>
      <c r="F172">
        <v>3124</v>
      </c>
      <c r="G172">
        <v>122482.3</v>
      </c>
      <c r="H172">
        <v>680290</v>
      </c>
    </row>
    <row r="173" spans="1:8" x14ac:dyDescent="0.25">
      <c r="A173" t="s">
        <v>271</v>
      </c>
      <c r="B173" t="s">
        <v>1589</v>
      </c>
      <c r="C173">
        <v>252</v>
      </c>
      <c r="D173">
        <v>1748799</v>
      </c>
      <c r="E173">
        <v>1.748799</v>
      </c>
      <c r="F173">
        <v>2522</v>
      </c>
      <c r="G173">
        <v>6939.7</v>
      </c>
      <c r="H173">
        <v>101954</v>
      </c>
    </row>
    <row r="174" spans="1:8" x14ac:dyDescent="0.25">
      <c r="A174" t="s">
        <v>272</v>
      </c>
      <c r="B174" t="s">
        <v>1589</v>
      </c>
      <c r="C174">
        <v>14</v>
      </c>
      <c r="D174">
        <v>1989790</v>
      </c>
      <c r="E174">
        <v>1.9897899999999999</v>
      </c>
      <c r="F174">
        <v>2965</v>
      </c>
      <c r="G174">
        <v>142127.9</v>
      </c>
      <c r="H174">
        <v>498294</v>
      </c>
    </row>
    <row r="175" spans="1:8" x14ac:dyDescent="0.25">
      <c r="A175" t="s">
        <v>273</v>
      </c>
      <c r="B175" t="s">
        <v>1589</v>
      </c>
      <c r="C175">
        <v>230</v>
      </c>
      <c r="D175">
        <v>1312542</v>
      </c>
      <c r="E175">
        <v>1.3125420000000001</v>
      </c>
      <c r="F175">
        <v>2000</v>
      </c>
      <c r="G175">
        <v>5706.7</v>
      </c>
      <c r="H175">
        <v>39718</v>
      </c>
    </row>
    <row r="176" spans="1:8" x14ac:dyDescent="0.25">
      <c r="A176" t="s">
        <v>274</v>
      </c>
      <c r="B176" t="s">
        <v>1589</v>
      </c>
      <c r="C176">
        <v>15</v>
      </c>
      <c r="D176">
        <v>1657872</v>
      </c>
      <c r="E176">
        <v>1.657872</v>
      </c>
      <c r="F176">
        <v>2337</v>
      </c>
      <c r="G176">
        <v>110524.8</v>
      </c>
      <c r="H176">
        <v>428649</v>
      </c>
    </row>
    <row r="177" spans="1:8" x14ac:dyDescent="0.25">
      <c r="A177" t="s">
        <v>275</v>
      </c>
      <c r="B177" t="s">
        <v>1589</v>
      </c>
      <c r="C177">
        <v>152</v>
      </c>
      <c r="D177">
        <v>1352463</v>
      </c>
      <c r="E177">
        <v>1.352463</v>
      </c>
      <c r="F177">
        <v>2005</v>
      </c>
      <c r="G177">
        <v>8897.7999999999993</v>
      </c>
      <c r="H177">
        <v>64323</v>
      </c>
    </row>
    <row r="178" spans="1:8" x14ac:dyDescent="0.25">
      <c r="A178" t="s">
        <v>276</v>
      </c>
      <c r="B178" t="s">
        <v>1589</v>
      </c>
      <c r="C178">
        <v>99</v>
      </c>
      <c r="D178">
        <v>2562474</v>
      </c>
      <c r="E178">
        <v>2.5624739999999999</v>
      </c>
      <c r="F178">
        <v>4651</v>
      </c>
      <c r="G178">
        <v>25883.599999999999</v>
      </c>
      <c r="H178">
        <v>164619</v>
      </c>
    </row>
    <row r="179" spans="1:8" x14ac:dyDescent="0.25">
      <c r="A179" t="s">
        <v>277</v>
      </c>
      <c r="B179" t="s">
        <v>1589</v>
      </c>
      <c r="C179">
        <v>15</v>
      </c>
      <c r="D179">
        <v>2078368</v>
      </c>
      <c r="E179">
        <v>2.0783680000000002</v>
      </c>
      <c r="F179">
        <v>11324</v>
      </c>
      <c r="G179">
        <v>138557.9</v>
      </c>
      <c r="H179">
        <v>343822</v>
      </c>
    </row>
    <row r="180" spans="1:8" x14ac:dyDescent="0.25">
      <c r="A180" t="s">
        <v>278</v>
      </c>
      <c r="B180" t="s">
        <v>1589</v>
      </c>
      <c r="C180">
        <v>105</v>
      </c>
      <c r="D180">
        <v>2565332</v>
      </c>
      <c r="E180">
        <v>2.5653320000000002</v>
      </c>
      <c r="F180">
        <v>2551</v>
      </c>
      <c r="G180">
        <v>24431.7</v>
      </c>
      <c r="H180">
        <v>144446</v>
      </c>
    </row>
    <row r="181" spans="1:8" x14ac:dyDescent="0.25">
      <c r="A181" t="s">
        <v>279</v>
      </c>
      <c r="B181" t="s">
        <v>1589</v>
      </c>
      <c r="C181">
        <v>39</v>
      </c>
      <c r="D181">
        <v>2054758</v>
      </c>
      <c r="E181">
        <v>2.0547580000000001</v>
      </c>
      <c r="F181">
        <v>2444</v>
      </c>
      <c r="G181">
        <v>52686.1</v>
      </c>
      <c r="H181">
        <v>238239</v>
      </c>
    </row>
    <row r="182" spans="1:8" x14ac:dyDescent="0.25">
      <c r="A182" t="s">
        <v>280</v>
      </c>
      <c r="B182" t="s">
        <v>1589</v>
      </c>
      <c r="C182">
        <v>33</v>
      </c>
      <c r="D182">
        <v>1381254</v>
      </c>
      <c r="E182">
        <v>1.381254</v>
      </c>
      <c r="F182">
        <v>5857</v>
      </c>
      <c r="G182">
        <v>41856.199999999997</v>
      </c>
      <c r="H182">
        <v>137835</v>
      </c>
    </row>
    <row r="183" spans="1:8" x14ac:dyDescent="0.25">
      <c r="A183" t="s">
        <v>281</v>
      </c>
      <c r="B183" t="s">
        <v>1589</v>
      </c>
      <c r="C183">
        <v>4</v>
      </c>
      <c r="D183">
        <v>1117019</v>
      </c>
      <c r="E183">
        <v>1.117019</v>
      </c>
      <c r="F183">
        <v>66819</v>
      </c>
      <c r="G183">
        <v>279254.8</v>
      </c>
      <c r="H183">
        <v>514013</v>
      </c>
    </row>
    <row r="184" spans="1:8" x14ac:dyDescent="0.25">
      <c r="A184" t="s">
        <v>282</v>
      </c>
      <c r="B184" t="s">
        <v>1589</v>
      </c>
      <c r="C184">
        <v>17</v>
      </c>
      <c r="D184">
        <v>1619451</v>
      </c>
      <c r="E184">
        <v>1.619451</v>
      </c>
      <c r="F184">
        <v>5670</v>
      </c>
      <c r="G184">
        <v>95261.8</v>
      </c>
      <c r="H184">
        <v>394292</v>
      </c>
    </row>
    <row r="185" spans="1:8" x14ac:dyDescent="0.25">
      <c r="A185" t="s">
        <v>283</v>
      </c>
      <c r="B185" t="s">
        <v>1589</v>
      </c>
      <c r="C185">
        <v>24</v>
      </c>
      <c r="D185">
        <v>2158426</v>
      </c>
      <c r="E185">
        <v>2.158426</v>
      </c>
      <c r="F185">
        <v>8124</v>
      </c>
      <c r="G185">
        <v>89934.399999999994</v>
      </c>
      <c r="H185">
        <v>346588</v>
      </c>
    </row>
    <row r="186" spans="1:8" x14ac:dyDescent="0.25">
      <c r="A186" t="s">
        <v>284</v>
      </c>
      <c r="B186" t="s">
        <v>1589</v>
      </c>
      <c r="C186">
        <v>26</v>
      </c>
      <c r="D186">
        <v>2432129</v>
      </c>
      <c r="E186">
        <v>2.4321290000000002</v>
      </c>
      <c r="F186">
        <v>10218</v>
      </c>
      <c r="G186">
        <v>93543.4</v>
      </c>
      <c r="H186">
        <v>589146</v>
      </c>
    </row>
    <row r="187" spans="1:8" x14ac:dyDescent="0.25">
      <c r="A187" t="s">
        <v>285</v>
      </c>
      <c r="B187" t="s">
        <v>1589</v>
      </c>
      <c r="C187">
        <v>13</v>
      </c>
      <c r="D187">
        <v>1064706</v>
      </c>
      <c r="E187">
        <v>1.0647059999999999</v>
      </c>
      <c r="F187">
        <v>19424</v>
      </c>
      <c r="G187">
        <v>81900.5</v>
      </c>
      <c r="H187">
        <v>305035</v>
      </c>
    </row>
    <row r="188" spans="1:8" x14ac:dyDescent="0.25">
      <c r="A188" t="s">
        <v>286</v>
      </c>
      <c r="B188" t="s">
        <v>1589</v>
      </c>
      <c r="C188">
        <v>26</v>
      </c>
      <c r="D188">
        <v>764432</v>
      </c>
      <c r="E188">
        <v>0.764432</v>
      </c>
      <c r="F188">
        <v>5922</v>
      </c>
      <c r="G188">
        <v>29401.200000000001</v>
      </c>
      <c r="H188">
        <v>110816</v>
      </c>
    </row>
    <row r="189" spans="1:8" x14ac:dyDescent="0.25">
      <c r="A189" t="s">
        <v>287</v>
      </c>
      <c r="B189" t="s">
        <v>1589</v>
      </c>
      <c r="C189">
        <v>18</v>
      </c>
      <c r="D189">
        <v>731773</v>
      </c>
      <c r="E189">
        <v>0.73177300000000001</v>
      </c>
      <c r="F189">
        <v>7131</v>
      </c>
      <c r="G189">
        <v>40654.1</v>
      </c>
      <c r="H189">
        <v>124467</v>
      </c>
    </row>
    <row r="190" spans="1:8" x14ac:dyDescent="0.25">
      <c r="A190" t="s">
        <v>288</v>
      </c>
      <c r="B190" t="s">
        <v>1589</v>
      </c>
      <c r="C190">
        <v>159</v>
      </c>
      <c r="D190">
        <v>681316</v>
      </c>
      <c r="E190">
        <v>0.68131600000000003</v>
      </c>
      <c r="F190">
        <v>2025</v>
      </c>
      <c r="G190">
        <v>4285</v>
      </c>
      <c r="H190">
        <v>51280</v>
      </c>
    </row>
    <row r="191" spans="1:8" x14ac:dyDescent="0.25">
      <c r="A191" t="s">
        <v>289</v>
      </c>
      <c r="B191" t="s">
        <v>1589</v>
      </c>
      <c r="C191">
        <v>44</v>
      </c>
      <c r="D191">
        <v>1050852</v>
      </c>
      <c r="E191">
        <v>1.0508519999999999</v>
      </c>
      <c r="F191">
        <v>2292</v>
      </c>
      <c r="G191">
        <v>23883</v>
      </c>
      <c r="H191">
        <v>123370</v>
      </c>
    </row>
    <row r="192" spans="1:8" x14ac:dyDescent="0.25">
      <c r="A192" t="s">
        <v>290</v>
      </c>
      <c r="B192" t="s">
        <v>1589</v>
      </c>
      <c r="C192">
        <v>63</v>
      </c>
      <c r="D192">
        <v>1558672</v>
      </c>
      <c r="E192">
        <v>1.5586720000000001</v>
      </c>
      <c r="F192">
        <v>2099</v>
      </c>
      <c r="G192">
        <v>24740.799999999999</v>
      </c>
      <c r="H192">
        <v>130991</v>
      </c>
    </row>
    <row r="193" spans="1:8" x14ac:dyDescent="0.25">
      <c r="A193" t="s">
        <v>291</v>
      </c>
      <c r="B193" t="s">
        <v>1589</v>
      </c>
      <c r="C193">
        <v>20</v>
      </c>
      <c r="D193">
        <v>1756237</v>
      </c>
      <c r="E193">
        <v>1.756237</v>
      </c>
      <c r="F193">
        <v>2710</v>
      </c>
      <c r="G193">
        <v>87811.9</v>
      </c>
      <c r="H193">
        <v>406953</v>
      </c>
    </row>
    <row r="194" spans="1:8" x14ac:dyDescent="0.25">
      <c r="A194" t="s">
        <v>292</v>
      </c>
      <c r="B194" t="s">
        <v>1589</v>
      </c>
      <c r="C194">
        <v>376</v>
      </c>
      <c r="D194">
        <v>1678350</v>
      </c>
      <c r="E194">
        <v>1.67835</v>
      </c>
      <c r="F194">
        <v>2009</v>
      </c>
      <c r="G194">
        <v>4463.7</v>
      </c>
      <c r="H194">
        <v>61732</v>
      </c>
    </row>
    <row r="195" spans="1:8" x14ac:dyDescent="0.25">
      <c r="A195" t="s">
        <v>293</v>
      </c>
      <c r="B195" t="s">
        <v>1589</v>
      </c>
      <c r="C195">
        <v>151</v>
      </c>
      <c r="D195">
        <v>1532663</v>
      </c>
      <c r="E195">
        <v>1.5326630000000001</v>
      </c>
      <c r="F195">
        <v>2007</v>
      </c>
      <c r="G195">
        <v>10150.1</v>
      </c>
      <c r="H195">
        <v>85668</v>
      </c>
    </row>
    <row r="196" spans="1:8" x14ac:dyDescent="0.25">
      <c r="A196" t="s">
        <v>294</v>
      </c>
      <c r="B196" t="s">
        <v>1589</v>
      </c>
      <c r="C196">
        <v>36</v>
      </c>
      <c r="D196">
        <v>2481938</v>
      </c>
      <c r="E196">
        <v>2.481938</v>
      </c>
      <c r="F196">
        <v>3087</v>
      </c>
      <c r="G196">
        <v>68942.7</v>
      </c>
      <c r="H196">
        <v>263764</v>
      </c>
    </row>
    <row r="197" spans="1:8" x14ac:dyDescent="0.25">
      <c r="A197" t="s">
        <v>295</v>
      </c>
      <c r="B197" t="s">
        <v>1589</v>
      </c>
      <c r="C197">
        <v>27</v>
      </c>
      <c r="D197">
        <v>1939543</v>
      </c>
      <c r="E197">
        <v>1.939543</v>
      </c>
      <c r="F197">
        <v>2584</v>
      </c>
      <c r="G197">
        <v>71834.899999999994</v>
      </c>
      <c r="H197">
        <v>316822</v>
      </c>
    </row>
    <row r="198" spans="1:8" x14ac:dyDescent="0.25">
      <c r="A198" t="s">
        <v>296</v>
      </c>
      <c r="B198" t="s">
        <v>1589</v>
      </c>
      <c r="C198">
        <v>53</v>
      </c>
      <c r="D198">
        <v>2072532</v>
      </c>
      <c r="E198">
        <v>2.0725319999999998</v>
      </c>
      <c r="F198">
        <v>2941</v>
      </c>
      <c r="G198">
        <v>39104.400000000001</v>
      </c>
      <c r="H198">
        <v>169309</v>
      </c>
    </row>
    <row r="199" spans="1:8" x14ac:dyDescent="0.25">
      <c r="A199" t="s">
        <v>297</v>
      </c>
      <c r="B199" t="s">
        <v>1589</v>
      </c>
      <c r="C199">
        <v>157</v>
      </c>
      <c r="D199">
        <v>2608057</v>
      </c>
      <c r="E199">
        <v>2.6080570000000001</v>
      </c>
      <c r="F199">
        <v>2026</v>
      </c>
      <c r="G199">
        <v>16611.8</v>
      </c>
      <c r="H199">
        <v>144601</v>
      </c>
    </row>
    <row r="200" spans="1:8" x14ac:dyDescent="0.25">
      <c r="A200" t="s">
        <v>298</v>
      </c>
      <c r="B200" t="s">
        <v>1589</v>
      </c>
      <c r="C200">
        <v>29</v>
      </c>
      <c r="D200">
        <v>5015414</v>
      </c>
      <c r="E200">
        <v>5.0154139999999998</v>
      </c>
      <c r="F200">
        <v>14725</v>
      </c>
      <c r="G200">
        <v>172945.3</v>
      </c>
      <c r="H200">
        <v>687073</v>
      </c>
    </row>
    <row r="201" spans="1:8" x14ac:dyDescent="0.25">
      <c r="A201" t="s">
        <v>299</v>
      </c>
      <c r="B201" t="s">
        <v>1589</v>
      </c>
      <c r="C201">
        <v>1</v>
      </c>
      <c r="D201">
        <v>3577806</v>
      </c>
      <c r="E201">
        <v>3.5778059999999998</v>
      </c>
      <c r="F201">
        <v>3577806</v>
      </c>
      <c r="G201">
        <v>3577806</v>
      </c>
      <c r="H201">
        <v>3577806</v>
      </c>
    </row>
    <row r="202" spans="1:8" x14ac:dyDescent="0.25">
      <c r="A202" t="s">
        <v>300</v>
      </c>
      <c r="B202" t="s">
        <v>1589</v>
      </c>
      <c r="C202">
        <v>35</v>
      </c>
      <c r="D202">
        <v>1865867</v>
      </c>
      <c r="E202">
        <v>1.8658669999999999</v>
      </c>
      <c r="F202">
        <v>4870</v>
      </c>
      <c r="G202">
        <v>53310.5</v>
      </c>
      <c r="H202">
        <v>147500</v>
      </c>
    </row>
    <row r="203" spans="1:8" x14ac:dyDescent="0.25">
      <c r="A203" t="s">
        <v>301</v>
      </c>
      <c r="B203" t="s">
        <v>1589</v>
      </c>
      <c r="C203">
        <v>30</v>
      </c>
      <c r="D203">
        <v>2505963</v>
      </c>
      <c r="E203">
        <v>2.5059629999999999</v>
      </c>
      <c r="F203">
        <v>6440</v>
      </c>
      <c r="G203">
        <v>83532.100000000006</v>
      </c>
      <c r="H203">
        <v>344702</v>
      </c>
    </row>
    <row r="204" spans="1:8" x14ac:dyDescent="0.25">
      <c r="A204" t="s">
        <v>302</v>
      </c>
      <c r="B204" t="s">
        <v>1589</v>
      </c>
      <c r="C204">
        <v>314</v>
      </c>
      <c r="D204">
        <v>3474509</v>
      </c>
      <c r="E204">
        <v>3.4745089999999998</v>
      </c>
      <c r="F204">
        <v>2026</v>
      </c>
      <c r="G204">
        <v>11065.3</v>
      </c>
      <c r="H204">
        <v>108370</v>
      </c>
    </row>
    <row r="205" spans="1:8" x14ac:dyDescent="0.25">
      <c r="A205" t="s">
        <v>303</v>
      </c>
      <c r="B205" t="s">
        <v>1589</v>
      </c>
      <c r="C205">
        <v>24</v>
      </c>
      <c r="D205">
        <v>4442223</v>
      </c>
      <c r="E205">
        <v>4.4422230000000003</v>
      </c>
      <c r="F205">
        <v>3317</v>
      </c>
      <c r="G205">
        <v>185092.6</v>
      </c>
      <c r="H205">
        <v>962560</v>
      </c>
    </row>
    <row r="206" spans="1:8" x14ac:dyDescent="0.25">
      <c r="A206" t="s">
        <v>304</v>
      </c>
      <c r="B206" t="s">
        <v>1589</v>
      </c>
      <c r="C206">
        <v>15</v>
      </c>
      <c r="D206">
        <v>3484543</v>
      </c>
      <c r="E206">
        <v>3.4845429999999999</v>
      </c>
      <c r="F206">
        <v>4533</v>
      </c>
      <c r="G206">
        <v>232302.9</v>
      </c>
      <c r="H206">
        <v>1683048</v>
      </c>
    </row>
    <row r="207" spans="1:8" x14ac:dyDescent="0.25">
      <c r="A207" t="s">
        <v>305</v>
      </c>
      <c r="B207" t="s">
        <v>1589</v>
      </c>
      <c r="C207">
        <v>238</v>
      </c>
      <c r="D207">
        <v>1881039</v>
      </c>
      <c r="E207">
        <v>1.8810389999999999</v>
      </c>
      <c r="F207">
        <v>2018</v>
      </c>
      <c r="G207">
        <v>7903.5</v>
      </c>
      <c r="H207">
        <v>87409</v>
      </c>
    </row>
    <row r="208" spans="1:8" x14ac:dyDescent="0.25">
      <c r="A208" t="s">
        <v>306</v>
      </c>
      <c r="B208" t="s">
        <v>1589</v>
      </c>
      <c r="C208">
        <v>18</v>
      </c>
      <c r="D208">
        <v>3800156</v>
      </c>
      <c r="E208">
        <v>3.8001559999999999</v>
      </c>
      <c r="F208">
        <v>15643</v>
      </c>
      <c r="G208">
        <v>211119.8</v>
      </c>
      <c r="H208">
        <v>586781</v>
      </c>
    </row>
    <row r="209" spans="1:8" x14ac:dyDescent="0.25">
      <c r="A209" t="s">
        <v>307</v>
      </c>
      <c r="B209" t="s">
        <v>1589</v>
      </c>
      <c r="C209">
        <v>9</v>
      </c>
      <c r="D209">
        <v>3647778</v>
      </c>
      <c r="E209">
        <v>3.6477780000000002</v>
      </c>
      <c r="F209">
        <v>2339</v>
      </c>
      <c r="G209">
        <v>405308.7</v>
      </c>
      <c r="H209">
        <v>3445456</v>
      </c>
    </row>
    <row r="210" spans="1:8" x14ac:dyDescent="0.25">
      <c r="A210" t="s">
        <v>308</v>
      </c>
      <c r="B210" t="s">
        <v>1589</v>
      </c>
      <c r="C210">
        <v>127</v>
      </c>
      <c r="D210">
        <v>3480176</v>
      </c>
      <c r="E210">
        <v>3.4801760000000002</v>
      </c>
      <c r="F210">
        <v>2033</v>
      </c>
      <c r="G210">
        <v>27403</v>
      </c>
      <c r="H210">
        <v>238018</v>
      </c>
    </row>
    <row r="211" spans="1:8" x14ac:dyDescent="0.25">
      <c r="A211" t="s">
        <v>309</v>
      </c>
      <c r="B211" t="s">
        <v>1589</v>
      </c>
      <c r="C211">
        <v>17</v>
      </c>
      <c r="D211">
        <v>2026029</v>
      </c>
      <c r="E211">
        <v>2.0260289999999999</v>
      </c>
      <c r="F211">
        <v>6764</v>
      </c>
      <c r="G211">
        <v>119178.2</v>
      </c>
      <c r="H211">
        <v>379597</v>
      </c>
    </row>
    <row r="212" spans="1:8" x14ac:dyDescent="0.25">
      <c r="A212" t="s">
        <v>310</v>
      </c>
      <c r="B212" t="s">
        <v>1589</v>
      </c>
      <c r="C212">
        <v>347</v>
      </c>
      <c r="D212">
        <v>2370578</v>
      </c>
      <c r="E212">
        <v>2.3705780000000001</v>
      </c>
      <c r="F212">
        <v>2004</v>
      </c>
      <c r="G212">
        <v>6831.6</v>
      </c>
      <c r="H212">
        <v>110539</v>
      </c>
    </row>
    <row r="213" spans="1:8" x14ac:dyDescent="0.25">
      <c r="A213" t="s">
        <v>311</v>
      </c>
      <c r="B213" t="s">
        <v>1589</v>
      </c>
      <c r="C213">
        <v>233</v>
      </c>
      <c r="D213">
        <v>2799723</v>
      </c>
      <c r="E213">
        <v>2.7997230000000002</v>
      </c>
      <c r="F213">
        <v>2016</v>
      </c>
      <c r="G213">
        <v>12016</v>
      </c>
      <c r="H213">
        <v>145348</v>
      </c>
    </row>
    <row r="214" spans="1:8" x14ac:dyDescent="0.25">
      <c r="A214" t="s">
        <v>312</v>
      </c>
      <c r="B214" t="s">
        <v>1589</v>
      </c>
      <c r="C214">
        <v>673</v>
      </c>
      <c r="D214">
        <v>4109768</v>
      </c>
      <c r="E214">
        <v>4.1097679999999999</v>
      </c>
      <c r="F214">
        <v>2000</v>
      </c>
      <c r="G214">
        <v>6106.6</v>
      </c>
      <c r="H214">
        <v>52753</v>
      </c>
    </row>
    <row r="215" spans="1:8" x14ac:dyDescent="0.25">
      <c r="A215" t="s">
        <v>313</v>
      </c>
      <c r="B215" t="s">
        <v>1589</v>
      </c>
      <c r="C215">
        <v>320</v>
      </c>
      <c r="D215">
        <v>1954264</v>
      </c>
      <c r="E215">
        <v>1.954264</v>
      </c>
      <c r="F215">
        <v>2010</v>
      </c>
      <c r="G215">
        <v>6107.1</v>
      </c>
      <c r="H215">
        <v>31073</v>
      </c>
    </row>
    <row r="216" spans="1:8" x14ac:dyDescent="0.25">
      <c r="A216" t="s">
        <v>314</v>
      </c>
      <c r="B216" t="s">
        <v>1589</v>
      </c>
      <c r="C216">
        <v>306</v>
      </c>
      <c r="D216">
        <v>3157653</v>
      </c>
      <c r="E216">
        <v>3.1576529999999998</v>
      </c>
      <c r="F216">
        <v>2002</v>
      </c>
      <c r="G216">
        <v>10319.1</v>
      </c>
      <c r="H216">
        <v>143360</v>
      </c>
    </row>
    <row r="217" spans="1:8" x14ac:dyDescent="0.25">
      <c r="A217" t="s">
        <v>315</v>
      </c>
      <c r="B217" t="s">
        <v>1589</v>
      </c>
      <c r="C217">
        <v>206</v>
      </c>
      <c r="D217">
        <v>2792170</v>
      </c>
      <c r="E217">
        <v>2.79217</v>
      </c>
      <c r="F217">
        <v>2057</v>
      </c>
      <c r="G217">
        <v>13554.2</v>
      </c>
      <c r="H217">
        <v>91839</v>
      </c>
    </row>
    <row r="218" spans="1:8" x14ac:dyDescent="0.25">
      <c r="A218" t="s">
        <v>316</v>
      </c>
      <c r="B218" t="s">
        <v>1589</v>
      </c>
      <c r="C218">
        <v>79</v>
      </c>
      <c r="D218">
        <v>2345173</v>
      </c>
      <c r="E218">
        <v>2.345173</v>
      </c>
      <c r="F218">
        <v>2127</v>
      </c>
      <c r="G218">
        <v>29685.7</v>
      </c>
      <c r="H218">
        <v>181430</v>
      </c>
    </row>
    <row r="219" spans="1:8" x14ac:dyDescent="0.25">
      <c r="A219" t="s">
        <v>317</v>
      </c>
      <c r="B219" t="s">
        <v>1589</v>
      </c>
      <c r="C219">
        <v>31</v>
      </c>
      <c r="D219">
        <v>3339510</v>
      </c>
      <c r="E219">
        <v>3.3395100000000002</v>
      </c>
      <c r="F219">
        <v>2309</v>
      </c>
      <c r="G219">
        <v>107726.1</v>
      </c>
      <c r="H219">
        <v>539713</v>
      </c>
    </row>
    <row r="220" spans="1:8" x14ac:dyDescent="0.25">
      <c r="A220" t="s">
        <v>318</v>
      </c>
      <c r="B220" t="s">
        <v>1589</v>
      </c>
      <c r="C220">
        <v>7</v>
      </c>
      <c r="D220">
        <v>3022313</v>
      </c>
      <c r="E220">
        <v>3.022313</v>
      </c>
      <c r="F220">
        <v>2575</v>
      </c>
      <c r="G220">
        <v>431759</v>
      </c>
      <c r="H220">
        <v>786092</v>
      </c>
    </row>
    <row r="221" spans="1:8" x14ac:dyDescent="0.25">
      <c r="A221" t="s">
        <v>319</v>
      </c>
      <c r="B221" t="s">
        <v>1589</v>
      </c>
      <c r="C221">
        <v>9</v>
      </c>
      <c r="D221">
        <v>3268787</v>
      </c>
      <c r="E221">
        <v>3.2687870000000001</v>
      </c>
      <c r="F221">
        <v>13486</v>
      </c>
      <c r="G221">
        <v>363198.6</v>
      </c>
      <c r="H221">
        <v>1033297</v>
      </c>
    </row>
    <row r="222" spans="1:8" x14ac:dyDescent="0.25">
      <c r="A222" t="s">
        <v>320</v>
      </c>
      <c r="B222" t="s">
        <v>1589</v>
      </c>
      <c r="C222">
        <v>261</v>
      </c>
      <c r="D222">
        <v>2332407</v>
      </c>
      <c r="E222">
        <v>2.3324069999999999</v>
      </c>
      <c r="F222">
        <v>2004</v>
      </c>
      <c r="G222">
        <v>8936.4</v>
      </c>
      <c r="H222">
        <v>94895</v>
      </c>
    </row>
    <row r="223" spans="1:8" x14ac:dyDescent="0.25">
      <c r="A223" t="s">
        <v>321</v>
      </c>
      <c r="B223" t="s">
        <v>1589</v>
      </c>
      <c r="C223">
        <v>60</v>
      </c>
      <c r="D223">
        <v>2714460</v>
      </c>
      <c r="E223">
        <v>2.7144599999999999</v>
      </c>
      <c r="F223">
        <v>2521</v>
      </c>
      <c r="G223">
        <v>45241</v>
      </c>
      <c r="H223">
        <v>248689</v>
      </c>
    </row>
    <row r="224" spans="1:8" x14ac:dyDescent="0.25">
      <c r="A224" t="s">
        <v>322</v>
      </c>
      <c r="B224" t="s">
        <v>1589</v>
      </c>
      <c r="C224">
        <v>274</v>
      </c>
      <c r="D224">
        <v>2046821</v>
      </c>
      <c r="E224">
        <v>2.046821</v>
      </c>
      <c r="F224">
        <v>2007</v>
      </c>
      <c r="G224">
        <v>7470.1</v>
      </c>
      <c r="H224">
        <v>58483</v>
      </c>
    </row>
    <row r="225" spans="1:8" x14ac:dyDescent="0.25">
      <c r="A225" t="s">
        <v>323</v>
      </c>
      <c r="B225" t="s">
        <v>1589</v>
      </c>
      <c r="C225">
        <v>31</v>
      </c>
      <c r="D225">
        <v>2901792</v>
      </c>
      <c r="E225">
        <v>2.9017919999999999</v>
      </c>
      <c r="F225">
        <v>2423</v>
      </c>
      <c r="G225">
        <v>93606.2</v>
      </c>
      <c r="H225">
        <v>369605</v>
      </c>
    </row>
    <row r="226" spans="1:8" x14ac:dyDescent="0.25">
      <c r="A226" t="s">
        <v>324</v>
      </c>
      <c r="B226" t="s">
        <v>1589</v>
      </c>
      <c r="C226">
        <v>147</v>
      </c>
      <c r="D226">
        <v>1664104</v>
      </c>
      <c r="E226">
        <v>1.664104</v>
      </c>
      <c r="F226">
        <v>2527</v>
      </c>
      <c r="G226">
        <v>11320.4</v>
      </c>
      <c r="H226">
        <v>66993</v>
      </c>
    </row>
    <row r="227" spans="1:8" x14ac:dyDescent="0.25">
      <c r="A227" t="s">
        <v>325</v>
      </c>
      <c r="B227" t="s">
        <v>1589</v>
      </c>
      <c r="C227">
        <v>293</v>
      </c>
      <c r="D227">
        <v>1540357</v>
      </c>
      <c r="E227">
        <v>1.540357</v>
      </c>
      <c r="F227">
        <v>2003</v>
      </c>
      <c r="G227">
        <v>5257.2</v>
      </c>
      <c r="H227">
        <v>25337</v>
      </c>
    </row>
    <row r="228" spans="1:8" x14ac:dyDescent="0.25">
      <c r="A228" t="s">
        <v>326</v>
      </c>
      <c r="B228" t="s">
        <v>1589</v>
      </c>
      <c r="C228">
        <v>71</v>
      </c>
      <c r="D228">
        <v>2241071</v>
      </c>
      <c r="E228">
        <v>2.2410709999999998</v>
      </c>
      <c r="F228">
        <v>2154</v>
      </c>
      <c r="G228">
        <v>31564.400000000001</v>
      </c>
      <c r="H228">
        <v>200120</v>
      </c>
    </row>
    <row r="229" spans="1:8" x14ac:dyDescent="0.25">
      <c r="A229" t="s">
        <v>327</v>
      </c>
      <c r="B229" t="s">
        <v>1589</v>
      </c>
      <c r="C229">
        <v>34</v>
      </c>
      <c r="D229">
        <v>1047276</v>
      </c>
      <c r="E229">
        <v>1.0472760000000001</v>
      </c>
      <c r="F229">
        <v>3271</v>
      </c>
      <c r="G229">
        <v>30802.2</v>
      </c>
      <c r="H229">
        <v>113227</v>
      </c>
    </row>
    <row r="230" spans="1:8" x14ac:dyDescent="0.25">
      <c r="A230" t="s">
        <v>328</v>
      </c>
      <c r="B230" t="s">
        <v>1589</v>
      </c>
      <c r="C230">
        <v>234</v>
      </c>
      <c r="D230">
        <v>1433105</v>
      </c>
      <c r="E230">
        <v>1.4331050000000001</v>
      </c>
      <c r="F230">
        <v>2008</v>
      </c>
      <c r="G230">
        <v>6124.4</v>
      </c>
      <c r="H230">
        <v>46352</v>
      </c>
    </row>
    <row r="231" spans="1:8" x14ac:dyDescent="0.25">
      <c r="A231" t="s">
        <v>329</v>
      </c>
      <c r="B231" t="s">
        <v>1589</v>
      </c>
      <c r="C231">
        <v>244</v>
      </c>
      <c r="D231">
        <v>1331490</v>
      </c>
      <c r="E231">
        <v>1.3314900000000001</v>
      </c>
      <c r="F231">
        <v>2051</v>
      </c>
      <c r="G231">
        <v>5456.9</v>
      </c>
      <c r="H231">
        <v>36511</v>
      </c>
    </row>
    <row r="232" spans="1:8" x14ac:dyDescent="0.25">
      <c r="A232" t="s">
        <v>330</v>
      </c>
      <c r="B232" t="s">
        <v>1589</v>
      </c>
      <c r="C232">
        <v>174</v>
      </c>
      <c r="D232">
        <v>2105098</v>
      </c>
      <c r="E232">
        <v>2.1050979999999999</v>
      </c>
      <c r="F232">
        <v>2018</v>
      </c>
      <c r="G232">
        <v>12098.3</v>
      </c>
      <c r="H232">
        <v>83110</v>
      </c>
    </row>
    <row r="233" spans="1:8" x14ac:dyDescent="0.25">
      <c r="A233" t="s">
        <v>331</v>
      </c>
      <c r="B233" t="s">
        <v>1589</v>
      </c>
      <c r="C233">
        <v>43</v>
      </c>
      <c r="D233">
        <v>1815663</v>
      </c>
      <c r="E233">
        <v>1.815663</v>
      </c>
      <c r="F233">
        <v>2048</v>
      </c>
      <c r="G233">
        <v>42224.7</v>
      </c>
      <c r="H233">
        <v>326071</v>
      </c>
    </row>
    <row r="234" spans="1:8" x14ac:dyDescent="0.25">
      <c r="A234" t="s">
        <v>332</v>
      </c>
      <c r="B234" t="s">
        <v>1589</v>
      </c>
      <c r="C234">
        <v>255</v>
      </c>
      <c r="D234">
        <v>1050568</v>
      </c>
      <c r="E234">
        <v>1.0505679999999999</v>
      </c>
      <c r="F234">
        <v>2000</v>
      </c>
      <c r="G234">
        <v>4119.8999999999996</v>
      </c>
      <c r="H234">
        <v>19132</v>
      </c>
    </row>
    <row r="235" spans="1:8" x14ac:dyDescent="0.25">
      <c r="A235" t="s">
        <v>333</v>
      </c>
      <c r="B235" t="s">
        <v>1589</v>
      </c>
      <c r="C235">
        <v>453</v>
      </c>
      <c r="D235">
        <v>2217221</v>
      </c>
      <c r="E235">
        <v>2.2172209999999999</v>
      </c>
      <c r="F235">
        <v>2001</v>
      </c>
      <c r="G235">
        <v>4894.5</v>
      </c>
      <c r="H235">
        <v>52512</v>
      </c>
    </row>
    <row r="236" spans="1:8" x14ac:dyDescent="0.25">
      <c r="A236" t="s">
        <v>334</v>
      </c>
      <c r="B236" t="s">
        <v>1589</v>
      </c>
      <c r="C236">
        <v>223</v>
      </c>
      <c r="D236">
        <v>1432441</v>
      </c>
      <c r="E236">
        <v>1.4324410000000001</v>
      </c>
      <c r="F236">
        <v>2000</v>
      </c>
      <c r="G236">
        <v>6423.5</v>
      </c>
      <c r="H236">
        <v>61398</v>
      </c>
    </row>
    <row r="237" spans="1:8" x14ac:dyDescent="0.25">
      <c r="A237" t="s">
        <v>335</v>
      </c>
      <c r="B237" t="s">
        <v>1589</v>
      </c>
      <c r="C237">
        <v>183</v>
      </c>
      <c r="D237">
        <v>1944125</v>
      </c>
      <c r="E237">
        <v>1.9441250000000001</v>
      </c>
      <c r="F237">
        <v>2001</v>
      </c>
      <c r="G237">
        <v>10623.6</v>
      </c>
      <c r="H237">
        <v>115259</v>
      </c>
    </row>
    <row r="238" spans="1:8" x14ac:dyDescent="0.25">
      <c r="A238" t="s">
        <v>336</v>
      </c>
      <c r="B238" t="s">
        <v>1589</v>
      </c>
      <c r="C238">
        <v>93</v>
      </c>
      <c r="D238">
        <v>1739372</v>
      </c>
      <c r="E238">
        <v>1.7393719999999999</v>
      </c>
      <c r="F238">
        <v>2038</v>
      </c>
      <c r="G238">
        <v>18702.900000000001</v>
      </c>
      <c r="H238">
        <v>142105</v>
      </c>
    </row>
    <row r="239" spans="1:8" x14ac:dyDescent="0.25">
      <c r="A239" t="s">
        <v>337</v>
      </c>
      <c r="B239" t="s">
        <v>1589</v>
      </c>
      <c r="C239">
        <v>17</v>
      </c>
      <c r="D239">
        <v>2131407</v>
      </c>
      <c r="E239">
        <v>2.1314069999999998</v>
      </c>
      <c r="F239">
        <v>6636</v>
      </c>
      <c r="G239">
        <v>125376.9</v>
      </c>
      <c r="H239">
        <v>666058</v>
      </c>
    </row>
    <row r="240" spans="1:8" x14ac:dyDescent="0.25">
      <c r="A240" t="s">
        <v>338</v>
      </c>
      <c r="B240" t="s">
        <v>1589</v>
      </c>
      <c r="C240">
        <v>63</v>
      </c>
      <c r="D240">
        <v>2756896</v>
      </c>
      <c r="E240">
        <v>2.7568959999999998</v>
      </c>
      <c r="F240">
        <v>3841</v>
      </c>
      <c r="G240">
        <v>43760.3</v>
      </c>
      <c r="H240">
        <v>213857</v>
      </c>
    </row>
    <row r="241" spans="1:8" x14ac:dyDescent="0.25">
      <c r="A241" t="s">
        <v>339</v>
      </c>
      <c r="B241" t="s">
        <v>1589</v>
      </c>
      <c r="C241">
        <v>316</v>
      </c>
      <c r="D241">
        <v>2262646</v>
      </c>
      <c r="E241">
        <v>2.2626460000000002</v>
      </c>
      <c r="F241">
        <v>2506</v>
      </c>
      <c r="G241">
        <v>7160.3</v>
      </c>
      <c r="H241">
        <v>84142</v>
      </c>
    </row>
    <row r="242" spans="1:8" x14ac:dyDescent="0.25">
      <c r="A242" t="s">
        <v>340</v>
      </c>
      <c r="B242" t="s">
        <v>1589</v>
      </c>
      <c r="C242">
        <v>267</v>
      </c>
      <c r="D242">
        <v>1007983</v>
      </c>
      <c r="E242">
        <v>1.0079830000000001</v>
      </c>
      <c r="F242">
        <v>2003</v>
      </c>
      <c r="G242">
        <v>3775.2</v>
      </c>
      <c r="H242">
        <v>19515</v>
      </c>
    </row>
    <row r="243" spans="1:8" x14ac:dyDescent="0.25">
      <c r="A243" t="s">
        <v>341</v>
      </c>
      <c r="B243" t="s">
        <v>1589</v>
      </c>
      <c r="C243">
        <v>59</v>
      </c>
      <c r="D243">
        <v>1840313</v>
      </c>
      <c r="E243">
        <v>1.8403130000000001</v>
      </c>
      <c r="F243">
        <v>2019</v>
      </c>
      <c r="G243">
        <v>31191.7</v>
      </c>
      <c r="H243">
        <v>189464</v>
      </c>
    </row>
    <row r="244" spans="1:8" x14ac:dyDescent="0.25">
      <c r="A244" t="s">
        <v>342</v>
      </c>
      <c r="B244" t="s">
        <v>1589</v>
      </c>
      <c r="C244">
        <v>73</v>
      </c>
      <c r="D244">
        <v>1700222</v>
      </c>
      <c r="E244">
        <v>1.7002219999999999</v>
      </c>
      <c r="F244">
        <v>2023</v>
      </c>
      <c r="G244">
        <v>23290.7</v>
      </c>
      <c r="H244">
        <v>198152</v>
      </c>
    </row>
    <row r="245" spans="1:8" x14ac:dyDescent="0.25">
      <c r="A245" t="s">
        <v>343</v>
      </c>
      <c r="B245" t="s">
        <v>1589</v>
      </c>
      <c r="C245">
        <v>93</v>
      </c>
      <c r="D245">
        <v>1857039</v>
      </c>
      <c r="E245">
        <v>1.8570390000000001</v>
      </c>
      <c r="F245">
        <v>2013</v>
      </c>
      <c r="G245">
        <v>19968.2</v>
      </c>
      <c r="H245">
        <v>118686</v>
      </c>
    </row>
    <row r="246" spans="1:8" x14ac:dyDescent="0.25">
      <c r="A246" t="s">
        <v>344</v>
      </c>
      <c r="B246" t="s">
        <v>1589</v>
      </c>
      <c r="C246">
        <v>69</v>
      </c>
      <c r="D246">
        <v>2076003</v>
      </c>
      <c r="E246">
        <v>2.076003</v>
      </c>
      <c r="F246">
        <v>2114</v>
      </c>
      <c r="G246">
        <v>30087</v>
      </c>
      <c r="H246">
        <v>158477</v>
      </c>
    </row>
    <row r="247" spans="1:8" x14ac:dyDescent="0.25">
      <c r="A247" t="s">
        <v>345</v>
      </c>
      <c r="B247" t="s">
        <v>1589</v>
      </c>
      <c r="C247">
        <v>37</v>
      </c>
      <c r="D247">
        <v>1616986</v>
      </c>
      <c r="E247">
        <v>1.616986</v>
      </c>
      <c r="F247">
        <v>5213</v>
      </c>
      <c r="G247">
        <v>43702.3</v>
      </c>
      <c r="H247">
        <v>151766</v>
      </c>
    </row>
    <row r="248" spans="1:8" x14ac:dyDescent="0.25">
      <c r="A248" t="s">
        <v>346</v>
      </c>
      <c r="B248" t="s">
        <v>1589</v>
      </c>
      <c r="C248">
        <v>81</v>
      </c>
      <c r="D248">
        <v>2132693</v>
      </c>
      <c r="E248">
        <v>2.1326930000000002</v>
      </c>
      <c r="F248">
        <v>2627</v>
      </c>
      <c r="G248">
        <v>26329.5</v>
      </c>
      <c r="H248">
        <v>87394</v>
      </c>
    </row>
    <row r="249" spans="1:8" x14ac:dyDescent="0.25">
      <c r="A249" t="s">
        <v>347</v>
      </c>
      <c r="B249" t="s">
        <v>1589</v>
      </c>
      <c r="C249">
        <v>4</v>
      </c>
      <c r="D249">
        <v>1910526</v>
      </c>
      <c r="E249">
        <v>1.9105259999999999</v>
      </c>
      <c r="F249">
        <v>106734</v>
      </c>
      <c r="G249">
        <v>477631.5</v>
      </c>
      <c r="H249">
        <v>1166514</v>
      </c>
    </row>
    <row r="250" spans="1:8" x14ac:dyDescent="0.25">
      <c r="A250" t="s">
        <v>348</v>
      </c>
      <c r="B250" t="s">
        <v>1589</v>
      </c>
      <c r="C250">
        <v>147</v>
      </c>
      <c r="D250">
        <v>2238336</v>
      </c>
      <c r="E250">
        <v>2.2383359999999999</v>
      </c>
      <c r="F250">
        <v>2003</v>
      </c>
      <c r="G250">
        <v>15226.8</v>
      </c>
      <c r="H250">
        <v>123247</v>
      </c>
    </row>
    <row r="251" spans="1:8" x14ac:dyDescent="0.25">
      <c r="A251" t="s">
        <v>349</v>
      </c>
      <c r="B251" t="s">
        <v>1589</v>
      </c>
      <c r="C251">
        <v>124</v>
      </c>
      <c r="D251">
        <v>2420212</v>
      </c>
      <c r="E251">
        <v>2.4202119999999998</v>
      </c>
      <c r="F251">
        <v>2020</v>
      </c>
      <c r="G251">
        <v>19517.8</v>
      </c>
      <c r="H251">
        <v>111818</v>
      </c>
    </row>
    <row r="252" spans="1:8" x14ac:dyDescent="0.25">
      <c r="A252" t="s">
        <v>350</v>
      </c>
      <c r="B252" t="s">
        <v>1589</v>
      </c>
      <c r="C252">
        <v>281</v>
      </c>
      <c r="D252">
        <v>983815</v>
      </c>
      <c r="E252">
        <v>0.983815</v>
      </c>
      <c r="F252">
        <v>2010</v>
      </c>
      <c r="G252">
        <v>3501.1</v>
      </c>
      <c r="H252">
        <v>20096</v>
      </c>
    </row>
    <row r="253" spans="1:8" x14ac:dyDescent="0.25">
      <c r="A253" t="s">
        <v>351</v>
      </c>
      <c r="B253" t="s">
        <v>1589</v>
      </c>
      <c r="C253">
        <v>16</v>
      </c>
      <c r="D253">
        <v>1913813</v>
      </c>
      <c r="E253">
        <v>1.913813</v>
      </c>
      <c r="F253">
        <v>3472</v>
      </c>
      <c r="G253">
        <v>119613.3</v>
      </c>
      <c r="H253">
        <v>439747</v>
      </c>
    </row>
    <row r="254" spans="1:8" x14ac:dyDescent="0.25">
      <c r="A254" t="s">
        <v>352</v>
      </c>
      <c r="B254" t="s">
        <v>1589</v>
      </c>
      <c r="C254">
        <v>155</v>
      </c>
      <c r="D254">
        <v>1430124</v>
      </c>
      <c r="E254">
        <v>1.430124</v>
      </c>
      <c r="F254">
        <v>2014</v>
      </c>
      <c r="G254">
        <v>9226.6</v>
      </c>
      <c r="H254">
        <v>101205</v>
      </c>
    </row>
    <row r="255" spans="1:8" x14ac:dyDescent="0.25">
      <c r="A255" t="s">
        <v>353</v>
      </c>
      <c r="B255" t="s">
        <v>1589</v>
      </c>
      <c r="C255">
        <v>100</v>
      </c>
      <c r="D255">
        <v>1617955</v>
      </c>
      <c r="E255">
        <v>1.617955</v>
      </c>
      <c r="F255">
        <v>2002</v>
      </c>
      <c r="G255">
        <v>16179.6</v>
      </c>
      <c r="H255">
        <v>202899</v>
      </c>
    </row>
    <row r="256" spans="1:8" x14ac:dyDescent="0.25">
      <c r="A256" t="s">
        <v>354</v>
      </c>
      <c r="B256" t="s">
        <v>1589</v>
      </c>
      <c r="C256">
        <v>55</v>
      </c>
      <c r="D256">
        <v>1601321</v>
      </c>
      <c r="E256">
        <v>1.601321</v>
      </c>
      <c r="F256">
        <v>2259</v>
      </c>
      <c r="G256">
        <v>29114.9</v>
      </c>
      <c r="H256">
        <v>125164</v>
      </c>
    </row>
    <row r="257" spans="1:8" x14ac:dyDescent="0.25">
      <c r="A257" t="s">
        <v>355</v>
      </c>
      <c r="B257" t="s">
        <v>1589</v>
      </c>
      <c r="C257">
        <v>34</v>
      </c>
      <c r="D257">
        <v>1756839</v>
      </c>
      <c r="E257">
        <v>1.756839</v>
      </c>
      <c r="F257">
        <v>5169</v>
      </c>
      <c r="G257">
        <v>51671.7</v>
      </c>
      <c r="H257">
        <v>228281</v>
      </c>
    </row>
    <row r="258" spans="1:8" x14ac:dyDescent="0.25">
      <c r="A258" t="s">
        <v>356</v>
      </c>
      <c r="B258" t="s">
        <v>1589</v>
      </c>
      <c r="C258">
        <v>31</v>
      </c>
      <c r="D258">
        <v>1802756</v>
      </c>
      <c r="E258">
        <v>1.802756</v>
      </c>
      <c r="F258">
        <v>3709</v>
      </c>
      <c r="G258">
        <v>58153.4</v>
      </c>
      <c r="H258">
        <v>190488</v>
      </c>
    </row>
    <row r="259" spans="1:8" x14ac:dyDescent="0.25">
      <c r="A259" t="s">
        <v>357</v>
      </c>
      <c r="B259" t="s">
        <v>1589</v>
      </c>
      <c r="C259">
        <v>25</v>
      </c>
      <c r="D259">
        <v>1363654</v>
      </c>
      <c r="E259">
        <v>1.3636539999999999</v>
      </c>
      <c r="F259">
        <v>7211</v>
      </c>
      <c r="G259">
        <v>54546.2</v>
      </c>
      <c r="H259">
        <v>195235</v>
      </c>
    </row>
    <row r="260" spans="1:8" x14ac:dyDescent="0.25">
      <c r="A260" t="s">
        <v>358</v>
      </c>
      <c r="B260" t="s">
        <v>1589</v>
      </c>
      <c r="C260">
        <v>23</v>
      </c>
      <c r="D260">
        <v>3011091</v>
      </c>
      <c r="E260">
        <v>3.011091</v>
      </c>
      <c r="F260">
        <v>2191</v>
      </c>
      <c r="G260">
        <v>130917</v>
      </c>
      <c r="H260">
        <v>752522</v>
      </c>
    </row>
    <row r="261" spans="1:8" x14ac:dyDescent="0.25">
      <c r="A261" t="s">
        <v>359</v>
      </c>
      <c r="B261" t="s">
        <v>1589</v>
      </c>
      <c r="C261">
        <v>182</v>
      </c>
      <c r="D261">
        <v>1793243</v>
      </c>
      <c r="E261">
        <v>1.7932429999999999</v>
      </c>
      <c r="F261">
        <v>2008</v>
      </c>
      <c r="G261">
        <v>9853</v>
      </c>
      <c r="H261">
        <v>141187</v>
      </c>
    </row>
    <row r="262" spans="1:8" x14ac:dyDescent="0.25">
      <c r="A262" t="s">
        <v>360</v>
      </c>
      <c r="B262" t="s">
        <v>1589</v>
      </c>
      <c r="C262">
        <v>45</v>
      </c>
      <c r="D262">
        <v>3023637</v>
      </c>
      <c r="E262">
        <v>3.0236369999999999</v>
      </c>
      <c r="F262">
        <v>8318</v>
      </c>
      <c r="G262">
        <v>67191.899999999994</v>
      </c>
      <c r="H262">
        <v>213695</v>
      </c>
    </row>
    <row r="263" spans="1:8" x14ac:dyDescent="0.25">
      <c r="A263" t="s">
        <v>361</v>
      </c>
      <c r="B263" t="s">
        <v>1589</v>
      </c>
      <c r="C263">
        <v>7</v>
      </c>
      <c r="D263">
        <v>2204301</v>
      </c>
      <c r="E263">
        <v>2.2043010000000001</v>
      </c>
      <c r="F263">
        <v>38659</v>
      </c>
      <c r="G263">
        <v>314900.09999999998</v>
      </c>
      <c r="H263">
        <v>697494</v>
      </c>
    </row>
    <row r="264" spans="1:8" x14ac:dyDescent="0.25">
      <c r="A264" t="s">
        <v>362</v>
      </c>
      <c r="B264" t="s">
        <v>1589</v>
      </c>
      <c r="C264">
        <v>5</v>
      </c>
      <c r="D264">
        <v>2683322</v>
      </c>
      <c r="E264">
        <v>2.683322</v>
      </c>
      <c r="F264">
        <v>2125</v>
      </c>
      <c r="G264">
        <v>536664.4</v>
      </c>
      <c r="H264">
        <v>1231193</v>
      </c>
    </row>
    <row r="265" spans="1:8" x14ac:dyDescent="0.25">
      <c r="A265" t="s">
        <v>363</v>
      </c>
      <c r="B265" t="s">
        <v>1589</v>
      </c>
      <c r="C265">
        <v>13</v>
      </c>
      <c r="D265">
        <v>2370057</v>
      </c>
      <c r="E265">
        <v>2.3700570000000001</v>
      </c>
      <c r="F265">
        <v>18063</v>
      </c>
      <c r="G265">
        <v>182312.1</v>
      </c>
      <c r="H265">
        <v>960772</v>
      </c>
    </row>
    <row r="266" spans="1:8" x14ac:dyDescent="0.25">
      <c r="A266" t="s">
        <v>364</v>
      </c>
      <c r="B266" t="s">
        <v>1589</v>
      </c>
      <c r="C266">
        <v>68</v>
      </c>
      <c r="D266">
        <v>1758789</v>
      </c>
      <c r="E266">
        <v>1.7587889999999999</v>
      </c>
      <c r="F266">
        <v>2046</v>
      </c>
      <c r="G266">
        <v>25864.5</v>
      </c>
      <c r="H266">
        <v>93745</v>
      </c>
    </row>
    <row r="267" spans="1:8" x14ac:dyDescent="0.25">
      <c r="A267" t="s">
        <v>365</v>
      </c>
      <c r="B267" t="s">
        <v>1589</v>
      </c>
      <c r="C267">
        <v>40</v>
      </c>
      <c r="D267">
        <v>1946336</v>
      </c>
      <c r="E267">
        <v>1.9463360000000001</v>
      </c>
      <c r="F267">
        <v>2318</v>
      </c>
      <c r="G267">
        <v>48658.400000000001</v>
      </c>
      <c r="H267">
        <v>214542</v>
      </c>
    </row>
    <row r="268" spans="1:8" x14ac:dyDescent="0.25">
      <c r="A268" t="s">
        <v>366</v>
      </c>
      <c r="B268" t="s">
        <v>1589</v>
      </c>
      <c r="C268">
        <v>21</v>
      </c>
      <c r="D268">
        <v>1775321</v>
      </c>
      <c r="E268">
        <v>1.7753209999999999</v>
      </c>
      <c r="F268">
        <v>2252</v>
      </c>
      <c r="G268">
        <v>84539.1</v>
      </c>
      <c r="H268">
        <v>569362</v>
      </c>
    </row>
    <row r="269" spans="1:8" x14ac:dyDescent="0.25">
      <c r="A269" t="s">
        <v>367</v>
      </c>
      <c r="B269" t="s">
        <v>1589</v>
      </c>
      <c r="C269">
        <v>85</v>
      </c>
      <c r="D269">
        <v>1552714</v>
      </c>
      <c r="E269">
        <v>1.5527139999999999</v>
      </c>
      <c r="F269">
        <v>2075</v>
      </c>
      <c r="G269">
        <v>18267.2</v>
      </c>
      <c r="H269">
        <v>55559</v>
      </c>
    </row>
    <row r="270" spans="1:8" x14ac:dyDescent="0.25">
      <c r="A270" t="s">
        <v>368</v>
      </c>
      <c r="B270" t="s">
        <v>1589</v>
      </c>
      <c r="C270">
        <v>57</v>
      </c>
      <c r="D270">
        <v>2033258</v>
      </c>
      <c r="E270">
        <v>2.033258</v>
      </c>
      <c r="F270">
        <v>2080</v>
      </c>
      <c r="G270">
        <v>35671.199999999997</v>
      </c>
      <c r="H270">
        <v>175898</v>
      </c>
    </row>
    <row r="271" spans="1:8" x14ac:dyDescent="0.25">
      <c r="A271" t="s">
        <v>369</v>
      </c>
      <c r="B271" t="s">
        <v>1589</v>
      </c>
      <c r="C271">
        <v>18</v>
      </c>
      <c r="D271">
        <v>1680132</v>
      </c>
      <c r="E271">
        <v>1.680132</v>
      </c>
      <c r="F271">
        <v>11765</v>
      </c>
      <c r="G271">
        <v>93340.7</v>
      </c>
      <c r="H271">
        <v>255468</v>
      </c>
    </row>
    <row r="272" spans="1:8" x14ac:dyDescent="0.25">
      <c r="A272" t="s">
        <v>370</v>
      </c>
      <c r="B272" t="s">
        <v>1589</v>
      </c>
      <c r="C272">
        <v>201</v>
      </c>
      <c r="D272">
        <v>1638701</v>
      </c>
      <c r="E272">
        <v>1.638701</v>
      </c>
      <c r="F272">
        <v>2006</v>
      </c>
      <c r="G272">
        <v>8152.7</v>
      </c>
      <c r="H272">
        <v>73470</v>
      </c>
    </row>
    <row r="273" spans="1:8" x14ac:dyDescent="0.25">
      <c r="A273" t="s">
        <v>371</v>
      </c>
      <c r="B273" t="s">
        <v>1589</v>
      </c>
      <c r="C273">
        <v>100</v>
      </c>
      <c r="D273">
        <v>1911828</v>
      </c>
      <c r="E273">
        <v>1.9118280000000001</v>
      </c>
      <c r="F273">
        <v>2054</v>
      </c>
      <c r="G273">
        <v>19118.3</v>
      </c>
      <c r="H273">
        <v>79544</v>
      </c>
    </row>
    <row r="274" spans="1:8" x14ac:dyDescent="0.25">
      <c r="A274" t="s">
        <v>372</v>
      </c>
      <c r="B274" t="s">
        <v>1589</v>
      </c>
      <c r="C274">
        <v>18</v>
      </c>
      <c r="D274">
        <v>2127407</v>
      </c>
      <c r="E274">
        <v>2.1274069999999998</v>
      </c>
      <c r="F274">
        <v>2107</v>
      </c>
      <c r="G274">
        <v>118189.3</v>
      </c>
      <c r="H274">
        <v>560175</v>
      </c>
    </row>
    <row r="275" spans="1:8" x14ac:dyDescent="0.25">
      <c r="A275" t="s">
        <v>373</v>
      </c>
      <c r="B275" t="s">
        <v>1589</v>
      </c>
      <c r="C275">
        <v>388</v>
      </c>
      <c r="D275">
        <v>1783595</v>
      </c>
      <c r="E275">
        <v>1.783595</v>
      </c>
      <c r="F275">
        <v>2005</v>
      </c>
      <c r="G275">
        <v>4596.8999999999996</v>
      </c>
      <c r="H275">
        <v>54947</v>
      </c>
    </row>
    <row r="276" spans="1:8" x14ac:dyDescent="0.25">
      <c r="A276" t="s">
        <v>374</v>
      </c>
      <c r="B276" t="s">
        <v>1589</v>
      </c>
      <c r="C276">
        <v>78</v>
      </c>
      <c r="D276">
        <v>1460756</v>
      </c>
      <c r="E276">
        <v>1.4607559999999999</v>
      </c>
      <c r="F276">
        <v>2016</v>
      </c>
      <c r="G276">
        <v>18727.599999999999</v>
      </c>
      <c r="H276">
        <v>125180</v>
      </c>
    </row>
    <row r="277" spans="1:8" x14ac:dyDescent="0.25">
      <c r="A277" t="s">
        <v>375</v>
      </c>
      <c r="B277" t="s">
        <v>1589</v>
      </c>
      <c r="C277">
        <v>129</v>
      </c>
      <c r="D277">
        <v>1867652</v>
      </c>
      <c r="E277">
        <v>1.8676520000000001</v>
      </c>
      <c r="F277">
        <v>2004</v>
      </c>
      <c r="G277">
        <v>14477.9</v>
      </c>
      <c r="H277">
        <v>161937</v>
      </c>
    </row>
    <row r="278" spans="1:8" x14ac:dyDescent="0.25">
      <c r="A278" t="s">
        <v>376</v>
      </c>
      <c r="B278" t="s">
        <v>1589</v>
      </c>
      <c r="C278">
        <v>57</v>
      </c>
      <c r="D278">
        <v>1906803</v>
      </c>
      <c r="E278">
        <v>1.906803</v>
      </c>
      <c r="F278">
        <v>4327</v>
      </c>
      <c r="G278">
        <v>33452.699999999997</v>
      </c>
      <c r="H278">
        <v>160110</v>
      </c>
    </row>
    <row r="279" spans="1:8" x14ac:dyDescent="0.25">
      <c r="A279" t="s">
        <v>377</v>
      </c>
      <c r="B279" t="s">
        <v>1589</v>
      </c>
      <c r="C279">
        <v>43</v>
      </c>
      <c r="D279">
        <v>2860132</v>
      </c>
      <c r="E279">
        <v>2.8601320000000001</v>
      </c>
      <c r="F279">
        <v>2134</v>
      </c>
      <c r="G279">
        <v>66514.7</v>
      </c>
      <c r="H279">
        <v>500484</v>
      </c>
    </row>
    <row r="280" spans="1:8" x14ac:dyDescent="0.25">
      <c r="A280" t="s">
        <v>378</v>
      </c>
      <c r="B280" t="s">
        <v>1589</v>
      </c>
      <c r="C280">
        <v>92</v>
      </c>
      <c r="D280">
        <v>2964510</v>
      </c>
      <c r="E280">
        <v>2.9645100000000002</v>
      </c>
      <c r="F280">
        <v>2019</v>
      </c>
      <c r="G280">
        <v>32222.9</v>
      </c>
      <c r="H280">
        <v>488762</v>
      </c>
    </row>
    <row r="281" spans="1:8" x14ac:dyDescent="0.25">
      <c r="A281" t="s">
        <v>379</v>
      </c>
      <c r="B281" t="s">
        <v>1589</v>
      </c>
      <c r="C281">
        <v>27</v>
      </c>
      <c r="D281">
        <v>1862015</v>
      </c>
      <c r="E281">
        <v>1.862015</v>
      </c>
      <c r="F281">
        <v>6004</v>
      </c>
      <c r="G281">
        <v>68963.5</v>
      </c>
      <c r="H281">
        <v>265464</v>
      </c>
    </row>
    <row r="282" spans="1:8" x14ac:dyDescent="0.25">
      <c r="A282" t="s">
        <v>380</v>
      </c>
      <c r="B282" t="s">
        <v>1589</v>
      </c>
      <c r="C282">
        <v>33</v>
      </c>
      <c r="D282">
        <v>2302443</v>
      </c>
      <c r="E282">
        <v>2.3024429999999998</v>
      </c>
      <c r="F282">
        <v>5757</v>
      </c>
      <c r="G282">
        <v>69771</v>
      </c>
      <c r="H282">
        <v>188766</v>
      </c>
    </row>
    <row r="283" spans="1:8" x14ac:dyDescent="0.25">
      <c r="A283" t="s">
        <v>381</v>
      </c>
      <c r="B283" t="s">
        <v>1589</v>
      </c>
      <c r="C283">
        <v>10</v>
      </c>
      <c r="D283">
        <v>1923448</v>
      </c>
      <c r="E283">
        <v>1.923448</v>
      </c>
      <c r="F283">
        <v>2065</v>
      </c>
      <c r="G283">
        <v>192344.8</v>
      </c>
      <c r="H283">
        <v>563838</v>
      </c>
    </row>
    <row r="284" spans="1:8" x14ac:dyDescent="0.25">
      <c r="A284" t="s">
        <v>382</v>
      </c>
      <c r="B284" t="s">
        <v>1589</v>
      </c>
      <c r="C284">
        <v>10</v>
      </c>
      <c r="D284">
        <v>2043235</v>
      </c>
      <c r="E284">
        <v>2.0432350000000001</v>
      </c>
      <c r="F284">
        <v>61100</v>
      </c>
      <c r="G284">
        <v>204323.5</v>
      </c>
      <c r="H284">
        <v>740027</v>
      </c>
    </row>
    <row r="285" spans="1:8" x14ac:dyDescent="0.25">
      <c r="A285" t="s">
        <v>383</v>
      </c>
      <c r="B285" t="s">
        <v>1589</v>
      </c>
      <c r="C285">
        <v>66</v>
      </c>
      <c r="D285">
        <v>1975837</v>
      </c>
      <c r="E285">
        <v>1.9758370000000001</v>
      </c>
      <c r="F285">
        <v>2521</v>
      </c>
      <c r="G285">
        <v>29936.9</v>
      </c>
      <c r="H285">
        <v>154129</v>
      </c>
    </row>
    <row r="286" spans="1:8" x14ac:dyDescent="0.25">
      <c r="A286" t="s">
        <v>384</v>
      </c>
      <c r="B286" t="s">
        <v>1589</v>
      </c>
      <c r="C286">
        <v>164</v>
      </c>
      <c r="D286">
        <v>1464742</v>
      </c>
      <c r="E286">
        <v>1.464742</v>
      </c>
      <c r="F286">
        <v>2008</v>
      </c>
      <c r="G286">
        <v>8931.4</v>
      </c>
      <c r="H286">
        <v>91666</v>
      </c>
    </row>
    <row r="287" spans="1:8" x14ac:dyDescent="0.25">
      <c r="A287" t="s">
        <v>385</v>
      </c>
      <c r="B287" t="s">
        <v>1589</v>
      </c>
      <c r="C287">
        <v>24</v>
      </c>
      <c r="D287">
        <v>2001325</v>
      </c>
      <c r="E287">
        <v>2.001325</v>
      </c>
      <c r="F287">
        <v>2267</v>
      </c>
      <c r="G287">
        <v>83388.5</v>
      </c>
      <c r="H287">
        <v>390224</v>
      </c>
    </row>
    <row r="288" spans="1:8" x14ac:dyDescent="0.25">
      <c r="A288" t="s">
        <v>386</v>
      </c>
      <c r="B288" t="s">
        <v>1589</v>
      </c>
      <c r="C288">
        <v>12</v>
      </c>
      <c r="D288">
        <v>2130745</v>
      </c>
      <c r="E288">
        <v>2.1307450000000001</v>
      </c>
      <c r="F288">
        <v>49927</v>
      </c>
      <c r="G288">
        <v>177562.1</v>
      </c>
      <c r="H288">
        <v>361656</v>
      </c>
    </row>
    <row r="289" spans="1:8" x14ac:dyDescent="0.25">
      <c r="A289" t="s">
        <v>387</v>
      </c>
      <c r="B289" t="s">
        <v>1589</v>
      </c>
      <c r="C289">
        <v>5</v>
      </c>
      <c r="D289">
        <v>2709248</v>
      </c>
      <c r="E289">
        <v>2.7092480000000001</v>
      </c>
      <c r="F289">
        <v>48759</v>
      </c>
      <c r="G289">
        <v>541849.59999999998</v>
      </c>
      <c r="H289">
        <v>1140782</v>
      </c>
    </row>
    <row r="290" spans="1:8" x14ac:dyDescent="0.25">
      <c r="A290" t="s">
        <v>388</v>
      </c>
      <c r="B290" t="s">
        <v>1589</v>
      </c>
      <c r="C290">
        <v>87</v>
      </c>
      <c r="D290">
        <v>2003279</v>
      </c>
      <c r="E290">
        <v>2.003279</v>
      </c>
      <c r="F290">
        <v>2014</v>
      </c>
      <c r="G290">
        <v>23026.2</v>
      </c>
      <c r="H290">
        <v>95753</v>
      </c>
    </row>
    <row r="291" spans="1:8" x14ac:dyDescent="0.25">
      <c r="A291" t="s">
        <v>389</v>
      </c>
      <c r="B291" t="s">
        <v>1589</v>
      </c>
      <c r="C291">
        <v>64</v>
      </c>
      <c r="D291">
        <v>2326713</v>
      </c>
      <c r="E291">
        <v>2.3267129999999998</v>
      </c>
      <c r="F291">
        <v>2279</v>
      </c>
      <c r="G291">
        <v>36354.9</v>
      </c>
      <c r="H291">
        <v>162348</v>
      </c>
    </row>
    <row r="292" spans="1:8" x14ac:dyDescent="0.25">
      <c r="A292" t="s">
        <v>390</v>
      </c>
      <c r="B292" t="s">
        <v>1589</v>
      </c>
      <c r="C292">
        <v>58</v>
      </c>
      <c r="D292">
        <v>1903469</v>
      </c>
      <c r="E292">
        <v>1.9034690000000001</v>
      </c>
      <c r="F292">
        <v>2004</v>
      </c>
      <c r="G292">
        <v>32818.400000000001</v>
      </c>
      <c r="H292">
        <v>267925</v>
      </c>
    </row>
    <row r="293" spans="1:8" x14ac:dyDescent="0.25">
      <c r="A293" t="s">
        <v>391</v>
      </c>
      <c r="B293" t="s">
        <v>1589</v>
      </c>
      <c r="C293">
        <v>197</v>
      </c>
      <c r="D293">
        <v>1083024</v>
      </c>
      <c r="E293">
        <v>1.083024</v>
      </c>
      <c r="F293">
        <v>2500</v>
      </c>
      <c r="G293">
        <v>5497.6</v>
      </c>
      <c r="H293">
        <v>17054</v>
      </c>
    </row>
    <row r="294" spans="1:8" x14ac:dyDescent="0.25">
      <c r="A294" t="s">
        <v>392</v>
      </c>
      <c r="B294" t="s">
        <v>1589</v>
      </c>
      <c r="C294">
        <v>408</v>
      </c>
      <c r="D294">
        <v>2434682</v>
      </c>
      <c r="E294">
        <v>2.434682</v>
      </c>
      <c r="F294">
        <v>2000</v>
      </c>
      <c r="G294">
        <v>5967.4</v>
      </c>
      <c r="H294">
        <v>116187</v>
      </c>
    </row>
    <row r="295" spans="1:8" x14ac:dyDescent="0.25">
      <c r="A295" t="s">
        <v>393</v>
      </c>
      <c r="B295" t="s">
        <v>1589</v>
      </c>
      <c r="C295">
        <v>340</v>
      </c>
      <c r="D295">
        <v>2122988</v>
      </c>
      <c r="E295">
        <v>2.1229879999999999</v>
      </c>
      <c r="F295">
        <v>2005</v>
      </c>
      <c r="G295">
        <v>6244.1</v>
      </c>
      <c r="H295">
        <v>46829</v>
      </c>
    </row>
    <row r="296" spans="1:8" x14ac:dyDescent="0.25">
      <c r="A296" t="s">
        <v>394</v>
      </c>
      <c r="B296" t="s">
        <v>1589</v>
      </c>
      <c r="C296">
        <v>126</v>
      </c>
      <c r="D296">
        <v>2216071</v>
      </c>
      <c r="E296">
        <v>2.2160709999999999</v>
      </c>
      <c r="F296">
        <v>2587</v>
      </c>
      <c r="G296">
        <v>17587.900000000001</v>
      </c>
      <c r="H296">
        <v>113848</v>
      </c>
    </row>
    <row r="297" spans="1:8" x14ac:dyDescent="0.25">
      <c r="A297" t="s">
        <v>395</v>
      </c>
      <c r="B297" t="s">
        <v>1589</v>
      </c>
      <c r="C297">
        <v>24</v>
      </c>
      <c r="D297">
        <v>1358645</v>
      </c>
      <c r="E297">
        <v>1.3586450000000001</v>
      </c>
      <c r="F297">
        <v>2069</v>
      </c>
      <c r="G297">
        <v>56610.2</v>
      </c>
      <c r="H297">
        <v>307189</v>
      </c>
    </row>
    <row r="298" spans="1:8" x14ac:dyDescent="0.25">
      <c r="A298" t="s">
        <v>396</v>
      </c>
      <c r="B298" t="s">
        <v>1589</v>
      </c>
      <c r="C298">
        <v>38</v>
      </c>
      <c r="D298">
        <v>1897722</v>
      </c>
      <c r="E298">
        <v>1.8977219999999999</v>
      </c>
      <c r="F298">
        <v>2109</v>
      </c>
      <c r="G298">
        <v>49940.1</v>
      </c>
      <c r="H298">
        <v>461450</v>
      </c>
    </row>
    <row r="299" spans="1:8" x14ac:dyDescent="0.25">
      <c r="A299" t="s">
        <v>397</v>
      </c>
      <c r="B299" t="s">
        <v>1589</v>
      </c>
      <c r="C299">
        <v>12</v>
      </c>
      <c r="D299">
        <v>1605930</v>
      </c>
      <c r="E299">
        <v>1.6059300000000001</v>
      </c>
      <c r="F299">
        <v>8844</v>
      </c>
      <c r="G299">
        <v>133827.5</v>
      </c>
      <c r="H299">
        <v>501903</v>
      </c>
    </row>
    <row r="300" spans="1:8" x14ac:dyDescent="0.25">
      <c r="A300" t="s">
        <v>398</v>
      </c>
      <c r="B300" t="s">
        <v>1589</v>
      </c>
      <c r="C300">
        <v>123</v>
      </c>
      <c r="D300">
        <v>3944067</v>
      </c>
      <c r="E300">
        <v>3.944067</v>
      </c>
      <c r="F300">
        <v>3442</v>
      </c>
      <c r="G300">
        <v>32065.599999999999</v>
      </c>
      <c r="H300">
        <v>178545</v>
      </c>
    </row>
    <row r="301" spans="1:8" x14ac:dyDescent="0.25">
      <c r="A301" t="s">
        <v>399</v>
      </c>
      <c r="B301" t="s">
        <v>1589</v>
      </c>
      <c r="C301">
        <v>12</v>
      </c>
      <c r="D301">
        <v>3002369</v>
      </c>
      <c r="E301">
        <v>3.0023689999999998</v>
      </c>
      <c r="F301">
        <v>2097</v>
      </c>
      <c r="G301">
        <v>250197.4</v>
      </c>
      <c r="H301">
        <v>823692</v>
      </c>
    </row>
    <row r="302" spans="1:8" x14ac:dyDescent="0.25">
      <c r="A302" t="s">
        <v>400</v>
      </c>
      <c r="B302" t="s">
        <v>1589</v>
      </c>
      <c r="C302">
        <v>37</v>
      </c>
      <c r="D302">
        <v>2002900</v>
      </c>
      <c r="E302">
        <v>2.0028999999999999</v>
      </c>
      <c r="F302">
        <v>9862</v>
      </c>
      <c r="G302">
        <v>54132.4</v>
      </c>
      <c r="H302">
        <v>186744</v>
      </c>
    </row>
    <row r="303" spans="1:8" x14ac:dyDescent="0.25">
      <c r="A303" t="s">
        <v>401</v>
      </c>
      <c r="B303" t="s">
        <v>1589</v>
      </c>
      <c r="C303">
        <v>13</v>
      </c>
      <c r="D303">
        <v>1594039</v>
      </c>
      <c r="E303">
        <v>1.594039</v>
      </c>
      <c r="F303">
        <v>15607</v>
      </c>
      <c r="G303">
        <v>122618.4</v>
      </c>
      <c r="H303">
        <v>378151</v>
      </c>
    </row>
    <row r="304" spans="1:8" x14ac:dyDescent="0.25">
      <c r="A304" t="s">
        <v>402</v>
      </c>
      <c r="B304" t="s">
        <v>1589</v>
      </c>
      <c r="C304">
        <v>274</v>
      </c>
      <c r="D304">
        <v>1706615</v>
      </c>
      <c r="E304">
        <v>1.706615</v>
      </c>
      <c r="F304">
        <v>2012</v>
      </c>
      <c r="G304">
        <v>6228.5</v>
      </c>
      <c r="H304">
        <v>65745</v>
      </c>
    </row>
    <row r="305" spans="1:8" x14ac:dyDescent="0.25">
      <c r="A305" t="s">
        <v>403</v>
      </c>
      <c r="B305" t="s">
        <v>1589</v>
      </c>
      <c r="C305">
        <v>236</v>
      </c>
      <c r="D305">
        <v>1330281</v>
      </c>
      <c r="E305">
        <v>1.330281</v>
      </c>
      <c r="F305">
        <v>2028</v>
      </c>
      <c r="G305">
        <v>5636.8</v>
      </c>
      <c r="H305">
        <v>32501</v>
      </c>
    </row>
    <row r="306" spans="1:8" x14ac:dyDescent="0.25">
      <c r="A306" t="s">
        <v>404</v>
      </c>
      <c r="B306" t="s">
        <v>1589</v>
      </c>
      <c r="C306">
        <v>25</v>
      </c>
      <c r="D306">
        <v>1626194</v>
      </c>
      <c r="E306">
        <v>1.6261939999999999</v>
      </c>
      <c r="F306">
        <v>10374</v>
      </c>
      <c r="G306">
        <v>65047.8</v>
      </c>
      <c r="H306">
        <v>266705</v>
      </c>
    </row>
    <row r="307" spans="1:8" x14ac:dyDescent="0.25">
      <c r="A307" t="s">
        <v>405</v>
      </c>
      <c r="B307" t="s">
        <v>1589</v>
      </c>
      <c r="C307">
        <v>17</v>
      </c>
      <c r="D307">
        <v>2087625</v>
      </c>
      <c r="E307">
        <v>2.0876250000000001</v>
      </c>
      <c r="F307">
        <v>8863</v>
      </c>
      <c r="G307">
        <v>122801.5</v>
      </c>
      <c r="H307">
        <v>422775</v>
      </c>
    </row>
    <row r="308" spans="1:8" x14ac:dyDescent="0.25">
      <c r="A308" t="s">
        <v>710</v>
      </c>
      <c r="B308" t="s">
        <v>1589</v>
      </c>
      <c r="C308">
        <v>194</v>
      </c>
      <c r="D308">
        <v>2047533</v>
      </c>
      <c r="E308">
        <v>2.047533</v>
      </c>
      <c r="F308">
        <v>2508</v>
      </c>
      <c r="G308">
        <v>10554.3</v>
      </c>
      <c r="H308">
        <v>41777</v>
      </c>
    </row>
    <row r="309" spans="1:8" x14ac:dyDescent="0.25">
      <c r="A309" t="s">
        <v>711</v>
      </c>
      <c r="B309" t="s">
        <v>1589</v>
      </c>
      <c r="C309">
        <v>333</v>
      </c>
      <c r="D309">
        <v>2160504</v>
      </c>
      <c r="E309">
        <v>2.160504</v>
      </c>
      <c r="F309">
        <v>2027</v>
      </c>
      <c r="G309">
        <v>6488</v>
      </c>
      <c r="H309">
        <v>36667</v>
      </c>
    </row>
    <row r="310" spans="1:8" x14ac:dyDescent="0.25">
      <c r="A310" t="s">
        <v>712</v>
      </c>
      <c r="B310" t="s">
        <v>1589</v>
      </c>
      <c r="C310">
        <v>99</v>
      </c>
      <c r="D310">
        <v>1842348</v>
      </c>
      <c r="E310">
        <v>1.8423480000000001</v>
      </c>
      <c r="F310">
        <v>2019</v>
      </c>
      <c r="G310">
        <v>18609.599999999999</v>
      </c>
      <c r="H310">
        <v>134393</v>
      </c>
    </row>
    <row r="311" spans="1:8" x14ac:dyDescent="0.25">
      <c r="A311" t="s">
        <v>713</v>
      </c>
      <c r="B311" t="s">
        <v>1589</v>
      </c>
      <c r="C311">
        <v>52</v>
      </c>
      <c r="D311">
        <v>2747716</v>
      </c>
      <c r="E311">
        <v>2.747716</v>
      </c>
      <c r="F311">
        <v>2113</v>
      </c>
      <c r="G311">
        <v>52840.7</v>
      </c>
      <c r="H311">
        <v>535639</v>
      </c>
    </row>
    <row r="312" spans="1:8" x14ac:dyDescent="0.25">
      <c r="A312" t="s">
        <v>714</v>
      </c>
      <c r="B312" t="s">
        <v>1589</v>
      </c>
      <c r="C312">
        <v>105</v>
      </c>
      <c r="D312">
        <v>2271444</v>
      </c>
      <c r="E312">
        <v>2.2714439999999998</v>
      </c>
      <c r="F312">
        <v>2044</v>
      </c>
      <c r="G312">
        <v>21632.799999999999</v>
      </c>
      <c r="H312">
        <v>342573</v>
      </c>
    </row>
    <row r="313" spans="1:8" x14ac:dyDescent="0.25">
      <c r="A313" t="s">
        <v>715</v>
      </c>
      <c r="B313" t="s">
        <v>1589</v>
      </c>
      <c r="C313">
        <v>267</v>
      </c>
      <c r="D313">
        <v>2108483</v>
      </c>
      <c r="E313">
        <v>2.1084830000000001</v>
      </c>
      <c r="F313">
        <v>2535</v>
      </c>
      <c r="G313">
        <v>7896.9</v>
      </c>
      <c r="H313">
        <v>50872</v>
      </c>
    </row>
    <row r="314" spans="1:8" x14ac:dyDescent="0.25">
      <c r="A314" t="s">
        <v>716</v>
      </c>
      <c r="B314" t="s">
        <v>1589</v>
      </c>
      <c r="C314">
        <v>150</v>
      </c>
      <c r="D314">
        <v>2535306</v>
      </c>
      <c r="E314">
        <v>2.5353059999999998</v>
      </c>
      <c r="F314">
        <v>2016</v>
      </c>
      <c r="G314">
        <v>16902</v>
      </c>
      <c r="H314">
        <v>178866</v>
      </c>
    </row>
    <row r="315" spans="1:8" x14ac:dyDescent="0.25">
      <c r="A315" t="s">
        <v>717</v>
      </c>
      <c r="B315" t="s">
        <v>1589</v>
      </c>
      <c r="C315">
        <v>27</v>
      </c>
      <c r="D315">
        <v>2508734</v>
      </c>
      <c r="E315">
        <v>2.508734</v>
      </c>
      <c r="F315">
        <v>2014</v>
      </c>
      <c r="G315">
        <v>92916.1</v>
      </c>
      <c r="H315">
        <v>415999</v>
      </c>
    </row>
    <row r="316" spans="1:8" x14ac:dyDescent="0.25">
      <c r="A316" t="s">
        <v>718</v>
      </c>
      <c r="B316" t="s">
        <v>1589</v>
      </c>
      <c r="C316">
        <v>106</v>
      </c>
      <c r="D316">
        <v>4074245</v>
      </c>
      <c r="E316">
        <v>4.0742450000000003</v>
      </c>
      <c r="F316">
        <v>2023</v>
      </c>
      <c r="G316">
        <v>38436.300000000003</v>
      </c>
      <c r="H316">
        <v>220503</v>
      </c>
    </row>
    <row r="317" spans="1:8" x14ac:dyDescent="0.25">
      <c r="A317" t="s">
        <v>719</v>
      </c>
      <c r="B317" t="s">
        <v>1589</v>
      </c>
      <c r="C317">
        <v>44</v>
      </c>
      <c r="D317">
        <v>1814120</v>
      </c>
      <c r="E317">
        <v>1.81412</v>
      </c>
      <c r="F317">
        <v>4362</v>
      </c>
      <c r="G317">
        <v>41230</v>
      </c>
      <c r="H317">
        <v>116735</v>
      </c>
    </row>
    <row r="318" spans="1:8" x14ac:dyDescent="0.25">
      <c r="A318" t="s">
        <v>720</v>
      </c>
      <c r="B318" t="s">
        <v>1589</v>
      </c>
      <c r="C318">
        <v>97</v>
      </c>
      <c r="D318">
        <v>2756924</v>
      </c>
      <c r="E318">
        <v>2.7569240000000002</v>
      </c>
      <c r="F318">
        <v>3082</v>
      </c>
      <c r="G318">
        <v>28421.9</v>
      </c>
      <c r="H318">
        <v>122856</v>
      </c>
    </row>
    <row r="319" spans="1:8" x14ac:dyDescent="0.25">
      <c r="A319" t="s">
        <v>721</v>
      </c>
      <c r="B319" t="s">
        <v>1589</v>
      </c>
      <c r="C319">
        <v>35</v>
      </c>
      <c r="D319">
        <v>1429652</v>
      </c>
      <c r="E319">
        <v>1.4296519999999999</v>
      </c>
      <c r="F319">
        <v>7182</v>
      </c>
      <c r="G319">
        <v>40847.199999999997</v>
      </c>
      <c r="H319">
        <v>140058</v>
      </c>
    </row>
    <row r="320" spans="1:8" x14ac:dyDescent="0.25">
      <c r="A320" t="s">
        <v>722</v>
      </c>
      <c r="B320" t="s">
        <v>1589</v>
      </c>
      <c r="C320">
        <v>59</v>
      </c>
      <c r="D320">
        <v>1798873</v>
      </c>
      <c r="E320">
        <v>1.7988729999999999</v>
      </c>
      <c r="F320">
        <v>2323</v>
      </c>
      <c r="G320">
        <v>30489.4</v>
      </c>
      <c r="H320">
        <v>179386</v>
      </c>
    </row>
    <row r="321" spans="1:8" x14ac:dyDescent="0.25">
      <c r="A321" t="s">
        <v>723</v>
      </c>
      <c r="B321" t="s">
        <v>1589</v>
      </c>
      <c r="C321">
        <v>33</v>
      </c>
      <c r="D321">
        <v>1773491</v>
      </c>
      <c r="E321">
        <v>1.7734909999999999</v>
      </c>
      <c r="F321">
        <v>4345</v>
      </c>
      <c r="G321">
        <v>53742.2</v>
      </c>
      <c r="H321">
        <v>220804</v>
      </c>
    </row>
    <row r="322" spans="1:8" x14ac:dyDescent="0.25">
      <c r="A322" t="s">
        <v>724</v>
      </c>
      <c r="B322" t="s">
        <v>1589</v>
      </c>
      <c r="C322">
        <v>50</v>
      </c>
      <c r="D322">
        <v>1711274</v>
      </c>
      <c r="E322">
        <v>1.711274</v>
      </c>
      <c r="F322">
        <v>5298</v>
      </c>
      <c r="G322">
        <v>34225.5</v>
      </c>
      <c r="H322">
        <v>104879</v>
      </c>
    </row>
    <row r="323" spans="1:8" x14ac:dyDescent="0.25">
      <c r="A323" t="s">
        <v>725</v>
      </c>
      <c r="B323" t="s">
        <v>1589</v>
      </c>
      <c r="C323">
        <v>49</v>
      </c>
      <c r="D323">
        <v>1134846</v>
      </c>
      <c r="E323">
        <v>1.134846</v>
      </c>
      <c r="F323">
        <v>2677</v>
      </c>
      <c r="G323">
        <v>23160.1</v>
      </c>
      <c r="H323">
        <v>90541</v>
      </c>
    </row>
    <row r="324" spans="1:8" x14ac:dyDescent="0.25">
      <c r="A324" t="s">
        <v>726</v>
      </c>
      <c r="B324" t="s">
        <v>1589</v>
      </c>
      <c r="C324">
        <v>33</v>
      </c>
      <c r="D324">
        <v>1632695</v>
      </c>
      <c r="E324">
        <v>1.632695</v>
      </c>
      <c r="F324">
        <v>2018</v>
      </c>
      <c r="G324">
        <v>49475.6</v>
      </c>
      <c r="H324">
        <v>273752</v>
      </c>
    </row>
    <row r="325" spans="1:8" x14ac:dyDescent="0.25">
      <c r="A325" t="s">
        <v>727</v>
      </c>
      <c r="B325" t="s">
        <v>1589</v>
      </c>
      <c r="C325">
        <v>2</v>
      </c>
      <c r="D325">
        <v>2192340</v>
      </c>
      <c r="E325">
        <v>2.1923400000000002</v>
      </c>
      <c r="F325">
        <v>299669</v>
      </c>
      <c r="G325">
        <v>1096170</v>
      </c>
      <c r="H325">
        <v>1892671</v>
      </c>
    </row>
    <row r="326" spans="1:8" x14ac:dyDescent="0.25">
      <c r="A326" t="s">
        <v>728</v>
      </c>
      <c r="B326" t="s">
        <v>1589</v>
      </c>
      <c r="C326">
        <v>4</v>
      </c>
      <c r="D326">
        <v>2102299</v>
      </c>
      <c r="E326">
        <v>2.1022989999999999</v>
      </c>
      <c r="F326">
        <v>131275</v>
      </c>
      <c r="G326">
        <v>525574.80000000005</v>
      </c>
      <c r="H326">
        <v>792136</v>
      </c>
    </row>
    <row r="327" spans="1:8" x14ac:dyDescent="0.25">
      <c r="A327" t="s">
        <v>729</v>
      </c>
      <c r="B327" t="s">
        <v>1589</v>
      </c>
      <c r="C327">
        <v>98</v>
      </c>
      <c r="D327">
        <v>1630634</v>
      </c>
      <c r="E327">
        <v>1.6306339999999999</v>
      </c>
      <c r="F327">
        <v>2036</v>
      </c>
      <c r="G327">
        <v>16639.099999999999</v>
      </c>
      <c r="H327">
        <v>175792</v>
      </c>
    </row>
    <row r="328" spans="1:8" x14ac:dyDescent="0.25">
      <c r="A328" t="s">
        <v>730</v>
      </c>
      <c r="B328" t="s">
        <v>1589</v>
      </c>
      <c r="C328">
        <v>29</v>
      </c>
      <c r="D328">
        <v>1799226</v>
      </c>
      <c r="E328">
        <v>1.799226</v>
      </c>
      <c r="F328">
        <v>6039</v>
      </c>
      <c r="G328">
        <v>62042.3</v>
      </c>
      <c r="H328">
        <v>582890</v>
      </c>
    </row>
    <row r="329" spans="1:8" x14ac:dyDescent="0.25">
      <c r="A329" t="s">
        <v>731</v>
      </c>
      <c r="B329" t="s">
        <v>1589</v>
      </c>
      <c r="C329">
        <v>12</v>
      </c>
      <c r="D329">
        <v>1419540</v>
      </c>
      <c r="E329">
        <v>1.41954</v>
      </c>
      <c r="F329">
        <v>5712</v>
      </c>
      <c r="G329">
        <v>118295</v>
      </c>
      <c r="H329">
        <v>459811</v>
      </c>
    </row>
    <row r="330" spans="1:8" x14ac:dyDescent="0.25">
      <c r="A330" t="s">
        <v>732</v>
      </c>
      <c r="B330" t="s">
        <v>1589</v>
      </c>
      <c r="C330">
        <v>63</v>
      </c>
      <c r="D330">
        <v>1703429</v>
      </c>
      <c r="E330">
        <v>1.7034290000000001</v>
      </c>
      <c r="F330">
        <v>2008</v>
      </c>
      <c r="G330">
        <v>27038.6</v>
      </c>
      <c r="H330">
        <v>167284</v>
      </c>
    </row>
    <row r="331" spans="1:8" x14ac:dyDescent="0.25">
      <c r="A331" t="s">
        <v>733</v>
      </c>
      <c r="B331" t="s">
        <v>1589</v>
      </c>
      <c r="C331">
        <v>74</v>
      </c>
      <c r="D331">
        <v>1064088</v>
      </c>
      <c r="E331">
        <v>1.0640879999999999</v>
      </c>
      <c r="F331">
        <v>2073</v>
      </c>
      <c r="G331">
        <v>14379.6</v>
      </c>
      <c r="H331">
        <v>109402</v>
      </c>
    </row>
    <row r="332" spans="1:8" x14ac:dyDescent="0.25">
      <c r="A332" t="s">
        <v>734</v>
      </c>
      <c r="B332" t="s">
        <v>1589</v>
      </c>
      <c r="C332">
        <v>51</v>
      </c>
      <c r="D332">
        <v>1178067</v>
      </c>
      <c r="E332">
        <v>1.178067</v>
      </c>
      <c r="F332">
        <v>2027</v>
      </c>
      <c r="G332">
        <v>23099.4</v>
      </c>
      <c r="H332">
        <v>133061</v>
      </c>
    </row>
    <row r="333" spans="1:8" x14ac:dyDescent="0.25">
      <c r="A333" t="s">
        <v>735</v>
      </c>
      <c r="B333" t="s">
        <v>1589</v>
      </c>
      <c r="C333">
        <v>223</v>
      </c>
      <c r="D333">
        <v>1482160</v>
      </c>
      <c r="E333">
        <v>1.4821599999999999</v>
      </c>
      <c r="F333">
        <v>2018</v>
      </c>
      <c r="G333">
        <v>6646.5</v>
      </c>
      <c r="H333">
        <v>33201</v>
      </c>
    </row>
    <row r="334" spans="1:8" x14ac:dyDescent="0.25">
      <c r="A334" t="s">
        <v>736</v>
      </c>
      <c r="B334" t="s">
        <v>1589</v>
      </c>
      <c r="C334">
        <v>373</v>
      </c>
      <c r="D334">
        <v>2071211</v>
      </c>
      <c r="E334">
        <v>2.0712109999999999</v>
      </c>
      <c r="F334">
        <v>2002</v>
      </c>
      <c r="G334">
        <v>5552.8</v>
      </c>
      <c r="H334">
        <v>34270</v>
      </c>
    </row>
    <row r="335" spans="1:8" x14ac:dyDescent="0.25">
      <c r="A335" t="s">
        <v>737</v>
      </c>
      <c r="B335" t="s">
        <v>1589</v>
      </c>
      <c r="C335">
        <v>34</v>
      </c>
      <c r="D335">
        <v>2004374</v>
      </c>
      <c r="E335">
        <v>2.0043739999999999</v>
      </c>
      <c r="F335">
        <v>4276</v>
      </c>
      <c r="G335">
        <v>58952.2</v>
      </c>
      <c r="H335">
        <v>292670</v>
      </c>
    </row>
    <row r="336" spans="1:8" x14ac:dyDescent="0.25">
      <c r="A336" t="s">
        <v>738</v>
      </c>
      <c r="B336" t="s">
        <v>1589</v>
      </c>
      <c r="C336">
        <v>44</v>
      </c>
      <c r="D336">
        <v>2580474</v>
      </c>
      <c r="E336">
        <v>2.5804740000000002</v>
      </c>
      <c r="F336">
        <v>4972</v>
      </c>
      <c r="G336">
        <v>58647.1</v>
      </c>
      <c r="H336">
        <v>300396</v>
      </c>
    </row>
    <row r="337" spans="1:8" x14ac:dyDescent="0.25">
      <c r="A337" t="s">
        <v>739</v>
      </c>
      <c r="B337" t="s">
        <v>1589</v>
      </c>
      <c r="C337">
        <v>408</v>
      </c>
      <c r="D337">
        <v>2228139</v>
      </c>
      <c r="E337">
        <v>2.2281390000000001</v>
      </c>
      <c r="F337">
        <v>2006</v>
      </c>
      <c r="G337">
        <v>5461.1</v>
      </c>
      <c r="H337">
        <v>67607</v>
      </c>
    </row>
    <row r="338" spans="1:8" x14ac:dyDescent="0.25">
      <c r="A338" t="s">
        <v>740</v>
      </c>
      <c r="B338" t="s">
        <v>1589</v>
      </c>
      <c r="C338">
        <v>48</v>
      </c>
      <c r="D338">
        <v>1145562</v>
      </c>
      <c r="E338">
        <v>1.145562</v>
      </c>
      <c r="F338">
        <v>2741</v>
      </c>
      <c r="G338">
        <v>23865.9</v>
      </c>
      <c r="H338">
        <v>102714</v>
      </c>
    </row>
    <row r="339" spans="1:8" x14ac:dyDescent="0.25">
      <c r="A339" t="s">
        <v>741</v>
      </c>
      <c r="B339" t="s">
        <v>1589</v>
      </c>
      <c r="C339">
        <v>333</v>
      </c>
      <c r="D339">
        <v>1413429</v>
      </c>
      <c r="E339">
        <v>1.413429</v>
      </c>
      <c r="F339">
        <v>2009</v>
      </c>
      <c r="G339">
        <v>4244.5</v>
      </c>
      <c r="H339">
        <v>32363</v>
      </c>
    </row>
    <row r="340" spans="1:8" x14ac:dyDescent="0.25">
      <c r="A340" t="s">
        <v>742</v>
      </c>
      <c r="B340" t="s">
        <v>1589</v>
      </c>
      <c r="C340">
        <v>43</v>
      </c>
      <c r="D340">
        <v>2772337</v>
      </c>
      <c r="E340">
        <v>2.7723369999999998</v>
      </c>
      <c r="F340">
        <v>2059</v>
      </c>
      <c r="G340">
        <v>64473</v>
      </c>
      <c r="H340">
        <v>384742</v>
      </c>
    </row>
    <row r="341" spans="1:8" x14ac:dyDescent="0.25">
      <c r="A341" t="s">
        <v>743</v>
      </c>
      <c r="B341" t="s">
        <v>1589</v>
      </c>
      <c r="C341">
        <v>115</v>
      </c>
      <c r="D341">
        <v>2068621</v>
      </c>
      <c r="E341">
        <v>2.0686209999999998</v>
      </c>
      <c r="F341">
        <v>2004</v>
      </c>
      <c r="G341">
        <v>17988</v>
      </c>
      <c r="H341">
        <v>163645</v>
      </c>
    </row>
    <row r="342" spans="1:8" x14ac:dyDescent="0.25">
      <c r="A342" t="s">
        <v>744</v>
      </c>
      <c r="B342" t="s">
        <v>1589</v>
      </c>
      <c r="C342">
        <v>504</v>
      </c>
      <c r="D342">
        <v>2981464</v>
      </c>
      <c r="E342">
        <v>2.9814639999999999</v>
      </c>
      <c r="F342">
        <v>2000</v>
      </c>
      <c r="G342">
        <v>5915.6</v>
      </c>
      <c r="H342">
        <v>105532</v>
      </c>
    </row>
    <row r="343" spans="1:8" x14ac:dyDescent="0.25">
      <c r="A343" t="s">
        <v>745</v>
      </c>
      <c r="B343" t="s">
        <v>1589</v>
      </c>
      <c r="C343">
        <v>72</v>
      </c>
      <c r="D343">
        <v>6274481</v>
      </c>
      <c r="E343">
        <v>6.2744809999999998</v>
      </c>
      <c r="F343">
        <v>7115</v>
      </c>
      <c r="G343">
        <v>87145.600000000006</v>
      </c>
      <c r="H343">
        <v>384672</v>
      </c>
    </row>
    <row r="344" spans="1:8" x14ac:dyDescent="0.25">
      <c r="A344" t="s">
        <v>746</v>
      </c>
      <c r="B344" t="s">
        <v>1589</v>
      </c>
      <c r="C344">
        <v>9</v>
      </c>
      <c r="D344">
        <v>5351204</v>
      </c>
      <c r="E344">
        <v>5.3512040000000001</v>
      </c>
      <c r="F344">
        <v>47378</v>
      </c>
      <c r="G344">
        <v>594578.19999999995</v>
      </c>
      <c r="H344">
        <v>1915584</v>
      </c>
    </row>
    <row r="345" spans="1:8" x14ac:dyDescent="0.25">
      <c r="A345" t="s">
        <v>747</v>
      </c>
      <c r="B345" t="s">
        <v>1589</v>
      </c>
      <c r="C345">
        <v>12</v>
      </c>
      <c r="D345">
        <v>3631430</v>
      </c>
      <c r="E345">
        <v>3.6314299999999999</v>
      </c>
      <c r="F345">
        <v>9383</v>
      </c>
      <c r="G345">
        <v>302619.2</v>
      </c>
      <c r="H345">
        <v>781674</v>
      </c>
    </row>
    <row r="346" spans="1:8" x14ac:dyDescent="0.25">
      <c r="A346" t="s">
        <v>748</v>
      </c>
      <c r="B346" t="s">
        <v>1589</v>
      </c>
      <c r="C346">
        <v>19</v>
      </c>
      <c r="D346">
        <v>3221039</v>
      </c>
      <c r="E346">
        <v>3.2210390000000002</v>
      </c>
      <c r="F346">
        <v>12042</v>
      </c>
      <c r="G346">
        <v>169528.4</v>
      </c>
      <c r="H346">
        <v>639419</v>
      </c>
    </row>
    <row r="347" spans="1:8" x14ac:dyDescent="0.25">
      <c r="A347" t="s">
        <v>749</v>
      </c>
      <c r="B347" t="s">
        <v>1589</v>
      </c>
      <c r="C347">
        <v>18</v>
      </c>
      <c r="D347">
        <v>2632433</v>
      </c>
      <c r="E347">
        <v>2.6324329999999998</v>
      </c>
      <c r="F347">
        <v>16583</v>
      </c>
      <c r="G347">
        <v>146246.29999999999</v>
      </c>
      <c r="H347">
        <v>424430</v>
      </c>
    </row>
    <row r="348" spans="1:8" x14ac:dyDescent="0.25">
      <c r="A348" t="s">
        <v>750</v>
      </c>
      <c r="B348" t="s">
        <v>1589</v>
      </c>
      <c r="C348">
        <v>62</v>
      </c>
      <c r="D348">
        <v>3641703</v>
      </c>
      <c r="E348">
        <v>3.6417030000000001</v>
      </c>
      <c r="F348">
        <v>3126</v>
      </c>
      <c r="G348">
        <v>58737.1</v>
      </c>
      <c r="H348">
        <v>188642</v>
      </c>
    </row>
    <row r="349" spans="1:8" x14ac:dyDescent="0.25">
      <c r="A349" t="s">
        <v>751</v>
      </c>
      <c r="B349" t="s">
        <v>1589</v>
      </c>
      <c r="C349">
        <v>26</v>
      </c>
      <c r="D349">
        <v>2381023</v>
      </c>
      <c r="E349">
        <v>2.3810229999999999</v>
      </c>
      <c r="F349">
        <v>6015</v>
      </c>
      <c r="G349">
        <v>91577.8</v>
      </c>
      <c r="H349">
        <v>300871</v>
      </c>
    </row>
    <row r="350" spans="1:8" x14ac:dyDescent="0.25">
      <c r="A350" t="s">
        <v>752</v>
      </c>
      <c r="B350" t="s">
        <v>1589</v>
      </c>
      <c r="C350">
        <v>29</v>
      </c>
      <c r="D350">
        <v>1757452</v>
      </c>
      <c r="E350">
        <v>1.757452</v>
      </c>
      <c r="F350">
        <v>3876</v>
      </c>
      <c r="G350">
        <v>60601.8</v>
      </c>
      <c r="H350">
        <v>265882</v>
      </c>
    </row>
    <row r="351" spans="1:8" x14ac:dyDescent="0.25">
      <c r="A351" t="s">
        <v>753</v>
      </c>
      <c r="B351" t="s">
        <v>1589</v>
      </c>
      <c r="C351">
        <v>17</v>
      </c>
      <c r="D351">
        <v>2722163</v>
      </c>
      <c r="E351">
        <v>2.7221630000000001</v>
      </c>
      <c r="F351">
        <v>2024</v>
      </c>
      <c r="G351">
        <v>160127.20000000001</v>
      </c>
      <c r="H351">
        <v>1044259</v>
      </c>
    </row>
    <row r="352" spans="1:8" x14ac:dyDescent="0.25">
      <c r="A352" t="s">
        <v>754</v>
      </c>
      <c r="B352" t="s">
        <v>1589</v>
      </c>
      <c r="C352">
        <v>34</v>
      </c>
      <c r="D352">
        <v>2999858</v>
      </c>
      <c r="E352">
        <v>2.9998580000000001</v>
      </c>
      <c r="F352">
        <v>2035</v>
      </c>
      <c r="G352">
        <v>88231.1</v>
      </c>
      <c r="H352">
        <v>779679</v>
      </c>
    </row>
    <row r="353" spans="1:8" x14ac:dyDescent="0.25">
      <c r="A353" t="s">
        <v>755</v>
      </c>
      <c r="B353" t="s">
        <v>1589</v>
      </c>
      <c r="C353">
        <v>307</v>
      </c>
      <c r="D353">
        <v>2613851</v>
      </c>
      <c r="E353">
        <v>2.6138509999999999</v>
      </c>
      <c r="F353">
        <v>2001</v>
      </c>
      <c r="G353">
        <v>8514.2000000000007</v>
      </c>
      <c r="H353">
        <v>146813</v>
      </c>
    </row>
    <row r="354" spans="1:8" x14ac:dyDescent="0.25">
      <c r="A354" t="s">
        <v>756</v>
      </c>
      <c r="B354" t="s">
        <v>1589</v>
      </c>
      <c r="C354">
        <v>59</v>
      </c>
      <c r="D354">
        <v>5319269</v>
      </c>
      <c r="E354">
        <v>5.3192690000000002</v>
      </c>
      <c r="F354">
        <v>2072</v>
      </c>
      <c r="G354">
        <v>90157.1</v>
      </c>
      <c r="H354">
        <v>407843</v>
      </c>
    </row>
    <row r="355" spans="1:8" x14ac:dyDescent="0.25">
      <c r="A355" t="s">
        <v>757</v>
      </c>
      <c r="B355" t="s">
        <v>1589</v>
      </c>
      <c r="C355">
        <v>136</v>
      </c>
      <c r="D355">
        <v>6488406</v>
      </c>
      <c r="E355">
        <v>6.4884060000000003</v>
      </c>
      <c r="F355">
        <v>6789</v>
      </c>
      <c r="G355">
        <v>47708.9</v>
      </c>
      <c r="H355">
        <v>244539</v>
      </c>
    </row>
    <row r="356" spans="1:8" x14ac:dyDescent="0.25">
      <c r="A356" t="s">
        <v>758</v>
      </c>
      <c r="B356" t="s">
        <v>1589</v>
      </c>
      <c r="C356">
        <v>39</v>
      </c>
      <c r="D356">
        <v>4240641</v>
      </c>
      <c r="E356">
        <v>4.2406410000000001</v>
      </c>
      <c r="F356">
        <v>2712</v>
      </c>
      <c r="G356">
        <v>108734.39999999999</v>
      </c>
      <c r="H356">
        <v>805782</v>
      </c>
    </row>
    <row r="357" spans="1:8" x14ac:dyDescent="0.25">
      <c r="A357" t="s">
        <v>759</v>
      </c>
      <c r="B357" t="s">
        <v>1589</v>
      </c>
      <c r="C357">
        <v>68</v>
      </c>
      <c r="D357">
        <v>2251671</v>
      </c>
      <c r="E357">
        <v>2.251671</v>
      </c>
      <c r="F357">
        <v>2024</v>
      </c>
      <c r="G357">
        <v>33112.800000000003</v>
      </c>
      <c r="H357">
        <v>214869</v>
      </c>
    </row>
    <row r="358" spans="1:8" x14ac:dyDescent="0.25">
      <c r="A358" t="s">
        <v>760</v>
      </c>
      <c r="B358" t="s">
        <v>1589</v>
      </c>
      <c r="C358">
        <v>415</v>
      </c>
      <c r="D358">
        <v>2697851</v>
      </c>
      <c r="E358">
        <v>2.697851</v>
      </c>
      <c r="F358">
        <v>2003</v>
      </c>
      <c r="G358">
        <v>6500.8</v>
      </c>
      <c r="H358">
        <v>51218</v>
      </c>
    </row>
    <row r="359" spans="1:8" x14ac:dyDescent="0.25">
      <c r="A359" t="s">
        <v>761</v>
      </c>
      <c r="B359" t="s">
        <v>1589</v>
      </c>
      <c r="C359">
        <v>159</v>
      </c>
      <c r="D359">
        <v>2199066</v>
      </c>
      <c r="E359">
        <v>2.1990660000000002</v>
      </c>
      <c r="F359">
        <v>2014</v>
      </c>
      <c r="G359">
        <v>13830.6</v>
      </c>
      <c r="H359">
        <v>322078</v>
      </c>
    </row>
    <row r="360" spans="1:8" x14ac:dyDescent="0.25">
      <c r="A360" t="s">
        <v>762</v>
      </c>
      <c r="B360" t="s">
        <v>1589</v>
      </c>
      <c r="C360">
        <v>106</v>
      </c>
      <c r="D360">
        <v>2329386</v>
      </c>
      <c r="E360">
        <v>2.329386</v>
      </c>
      <c r="F360">
        <v>2010</v>
      </c>
      <c r="G360">
        <v>21975.3</v>
      </c>
      <c r="H360">
        <v>186864</v>
      </c>
    </row>
    <row r="361" spans="1:8" x14ac:dyDescent="0.25">
      <c r="A361" t="s">
        <v>763</v>
      </c>
      <c r="B361" t="s">
        <v>1589</v>
      </c>
      <c r="C361">
        <v>209</v>
      </c>
      <c r="D361">
        <v>2168833</v>
      </c>
      <c r="E361">
        <v>2.1688329999999998</v>
      </c>
      <c r="F361">
        <v>2003</v>
      </c>
      <c r="G361">
        <v>10377.200000000001</v>
      </c>
      <c r="H361">
        <v>198594</v>
      </c>
    </row>
    <row r="362" spans="1:8" x14ac:dyDescent="0.25">
      <c r="A362" t="s">
        <v>764</v>
      </c>
      <c r="B362" t="s">
        <v>1589</v>
      </c>
      <c r="C362">
        <v>306</v>
      </c>
      <c r="D362">
        <v>1860071</v>
      </c>
      <c r="E362">
        <v>1.860071</v>
      </c>
      <c r="F362">
        <v>2008</v>
      </c>
      <c r="G362">
        <v>6078.7</v>
      </c>
      <c r="H362">
        <v>31632</v>
      </c>
    </row>
    <row r="363" spans="1:8" x14ac:dyDescent="0.25">
      <c r="A363" t="s">
        <v>765</v>
      </c>
      <c r="B363" t="s">
        <v>1589</v>
      </c>
      <c r="C363">
        <v>35</v>
      </c>
      <c r="D363">
        <v>1586767</v>
      </c>
      <c r="E363">
        <v>1.586767</v>
      </c>
      <c r="F363">
        <v>2944</v>
      </c>
      <c r="G363">
        <v>45336.2</v>
      </c>
      <c r="H363">
        <v>215751</v>
      </c>
    </row>
    <row r="364" spans="1:8" x14ac:dyDescent="0.25">
      <c r="A364" t="s">
        <v>766</v>
      </c>
      <c r="B364" t="s">
        <v>1589</v>
      </c>
      <c r="C364">
        <v>389</v>
      </c>
      <c r="D364">
        <v>2617426</v>
      </c>
      <c r="E364">
        <v>2.617426</v>
      </c>
      <c r="F364">
        <v>2006</v>
      </c>
      <c r="G364">
        <v>6728.6</v>
      </c>
      <c r="H364">
        <v>28111</v>
      </c>
    </row>
    <row r="365" spans="1:8" x14ac:dyDescent="0.25">
      <c r="A365" t="s">
        <v>767</v>
      </c>
      <c r="B365" t="s">
        <v>1589</v>
      </c>
      <c r="C365">
        <v>194</v>
      </c>
      <c r="D365">
        <v>1096804</v>
      </c>
      <c r="E365">
        <v>1.0968039999999999</v>
      </c>
      <c r="F365">
        <v>2021</v>
      </c>
      <c r="G365">
        <v>5653.6</v>
      </c>
      <c r="H365">
        <v>30494</v>
      </c>
    </row>
    <row r="366" spans="1:8" x14ac:dyDescent="0.25">
      <c r="A366" t="s">
        <v>768</v>
      </c>
      <c r="B366" t="s">
        <v>1589</v>
      </c>
      <c r="C366">
        <v>290</v>
      </c>
      <c r="D366">
        <v>1360404</v>
      </c>
      <c r="E366">
        <v>1.3604039999999999</v>
      </c>
      <c r="F366">
        <v>2003</v>
      </c>
      <c r="G366">
        <v>4691</v>
      </c>
      <c r="H366">
        <v>17818</v>
      </c>
    </row>
    <row r="367" spans="1:8" x14ac:dyDescent="0.25">
      <c r="A367" t="s">
        <v>769</v>
      </c>
      <c r="B367" t="s">
        <v>1589</v>
      </c>
      <c r="C367">
        <v>77</v>
      </c>
      <c r="D367">
        <v>4272382</v>
      </c>
      <c r="E367">
        <v>4.2723820000000003</v>
      </c>
      <c r="F367">
        <v>3674</v>
      </c>
      <c r="G367">
        <v>55485.5</v>
      </c>
      <c r="H367">
        <v>338043</v>
      </c>
    </row>
    <row r="368" spans="1:8" x14ac:dyDescent="0.25">
      <c r="A368" t="s">
        <v>770</v>
      </c>
      <c r="B368" t="s">
        <v>1589</v>
      </c>
      <c r="C368">
        <v>268</v>
      </c>
      <c r="D368">
        <v>1737784</v>
      </c>
      <c r="E368">
        <v>1.737784</v>
      </c>
      <c r="F368">
        <v>2003</v>
      </c>
      <c r="G368">
        <v>6484.3</v>
      </c>
      <c r="H368">
        <v>32847</v>
      </c>
    </row>
    <row r="369" spans="1:8" x14ac:dyDescent="0.25">
      <c r="A369" t="s">
        <v>771</v>
      </c>
      <c r="B369" t="s">
        <v>1589</v>
      </c>
      <c r="C369">
        <v>286</v>
      </c>
      <c r="D369">
        <v>1397720</v>
      </c>
      <c r="E369">
        <v>1.3977200000000001</v>
      </c>
      <c r="F369">
        <v>2004</v>
      </c>
      <c r="G369">
        <v>4887.1000000000004</v>
      </c>
      <c r="H369">
        <v>39389</v>
      </c>
    </row>
    <row r="370" spans="1:8" x14ac:dyDescent="0.25">
      <c r="A370" t="s">
        <v>772</v>
      </c>
      <c r="B370" t="s">
        <v>1589</v>
      </c>
      <c r="C370">
        <v>218</v>
      </c>
      <c r="D370">
        <v>1301652</v>
      </c>
      <c r="E370">
        <v>1.301652</v>
      </c>
      <c r="F370">
        <v>2003</v>
      </c>
      <c r="G370">
        <v>5970.9</v>
      </c>
      <c r="H370">
        <v>79776</v>
      </c>
    </row>
    <row r="371" spans="1:8" x14ac:dyDescent="0.25">
      <c r="A371" t="s">
        <v>773</v>
      </c>
      <c r="B371" t="s">
        <v>1589</v>
      </c>
      <c r="C371">
        <v>149</v>
      </c>
      <c r="D371">
        <v>1469744</v>
      </c>
      <c r="E371">
        <v>1.4697439999999999</v>
      </c>
      <c r="F371">
        <v>2008</v>
      </c>
      <c r="G371">
        <v>9864.1</v>
      </c>
      <c r="H371">
        <v>112243</v>
      </c>
    </row>
    <row r="372" spans="1:8" x14ac:dyDescent="0.25">
      <c r="A372" t="s">
        <v>774</v>
      </c>
      <c r="B372" t="s">
        <v>1589</v>
      </c>
      <c r="C372">
        <v>225</v>
      </c>
      <c r="D372">
        <v>2064063</v>
      </c>
      <c r="E372">
        <v>2.064063</v>
      </c>
      <c r="F372">
        <v>2006</v>
      </c>
      <c r="G372">
        <v>9173.6</v>
      </c>
      <c r="H372">
        <v>112032</v>
      </c>
    </row>
    <row r="373" spans="1:8" x14ac:dyDescent="0.25">
      <c r="A373" t="s">
        <v>775</v>
      </c>
      <c r="B373" t="s">
        <v>1589</v>
      </c>
      <c r="C373">
        <v>74</v>
      </c>
      <c r="D373">
        <v>1789800</v>
      </c>
      <c r="E373">
        <v>1.7898000000000001</v>
      </c>
      <c r="F373">
        <v>2024</v>
      </c>
      <c r="G373">
        <v>24186.5</v>
      </c>
      <c r="H373">
        <v>185245</v>
      </c>
    </row>
    <row r="374" spans="1:8" x14ac:dyDescent="0.25">
      <c r="A374" t="s">
        <v>776</v>
      </c>
      <c r="B374" t="s">
        <v>1589</v>
      </c>
      <c r="C374">
        <v>202</v>
      </c>
      <c r="D374">
        <v>1743456</v>
      </c>
      <c r="E374">
        <v>1.7434559999999999</v>
      </c>
      <c r="F374">
        <v>2011</v>
      </c>
      <c r="G374">
        <v>8631</v>
      </c>
      <c r="H374">
        <v>155944</v>
      </c>
    </row>
    <row r="375" spans="1:8" x14ac:dyDescent="0.25">
      <c r="A375" t="s">
        <v>777</v>
      </c>
      <c r="B375" t="s">
        <v>1589</v>
      </c>
      <c r="C375">
        <v>300</v>
      </c>
      <c r="D375">
        <v>1507680</v>
      </c>
      <c r="E375">
        <v>1.5076799999999999</v>
      </c>
      <c r="F375">
        <v>2018</v>
      </c>
      <c r="G375">
        <v>5025.6000000000004</v>
      </c>
      <c r="H375">
        <v>49671</v>
      </c>
    </row>
    <row r="376" spans="1:8" x14ac:dyDescent="0.25">
      <c r="A376" t="s">
        <v>778</v>
      </c>
      <c r="B376" t="s">
        <v>1589</v>
      </c>
      <c r="C376">
        <v>122</v>
      </c>
      <c r="D376">
        <v>1361050</v>
      </c>
      <c r="E376">
        <v>1.3610500000000001</v>
      </c>
      <c r="F376">
        <v>2000</v>
      </c>
      <c r="G376">
        <v>11156.1</v>
      </c>
      <c r="H376">
        <v>90466</v>
      </c>
    </row>
    <row r="377" spans="1:8" x14ac:dyDescent="0.25">
      <c r="A377" t="s">
        <v>779</v>
      </c>
      <c r="B377" t="s">
        <v>1589</v>
      </c>
      <c r="C377">
        <v>110</v>
      </c>
      <c r="D377">
        <v>1550608</v>
      </c>
      <c r="E377">
        <v>1.550608</v>
      </c>
      <c r="F377">
        <v>2009</v>
      </c>
      <c r="G377">
        <v>14096.4</v>
      </c>
      <c r="H377">
        <v>178688</v>
      </c>
    </row>
    <row r="378" spans="1:8" x14ac:dyDescent="0.25">
      <c r="A378" t="s">
        <v>780</v>
      </c>
      <c r="B378" t="s">
        <v>1589</v>
      </c>
      <c r="C378">
        <v>307</v>
      </c>
      <c r="D378">
        <v>1413176</v>
      </c>
      <c r="E378">
        <v>1.413176</v>
      </c>
      <c r="F378">
        <v>2002</v>
      </c>
      <c r="G378">
        <v>4603.2</v>
      </c>
      <c r="H378">
        <v>33655</v>
      </c>
    </row>
    <row r="379" spans="1:8" x14ac:dyDescent="0.25">
      <c r="A379" t="s">
        <v>781</v>
      </c>
      <c r="B379" t="s">
        <v>1589</v>
      </c>
      <c r="C379">
        <v>281</v>
      </c>
      <c r="D379">
        <v>1331560</v>
      </c>
      <c r="E379">
        <v>1.3315600000000001</v>
      </c>
      <c r="F379">
        <v>2001</v>
      </c>
      <c r="G379">
        <v>4738.6000000000004</v>
      </c>
      <c r="H379">
        <v>63277</v>
      </c>
    </row>
    <row r="380" spans="1:8" x14ac:dyDescent="0.25">
      <c r="A380" t="s">
        <v>782</v>
      </c>
      <c r="B380" t="s">
        <v>1589</v>
      </c>
      <c r="C380">
        <v>17</v>
      </c>
      <c r="D380">
        <v>2394664</v>
      </c>
      <c r="E380">
        <v>2.3946640000000001</v>
      </c>
      <c r="F380">
        <v>3952</v>
      </c>
      <c r="G380">
        <v>140862.6</v>
      </c>
      <c r="H380">
        <v>473723</v>
      </c>
    </row>
    <row r="381" spans="1:8" x14ac:dyDescent="0.25">
      <c r="A381" t="s">
        <v>783</v>
      </c>
      <c r="B381" t="s">
        <v>1589</v>
      </c>
      <c r="C381">
        <v>20</v>
      </c>
      <c r="D381">
        <v>1218563</v>
      </c>
      <c r="E381">
        <v>1.2185630000000001</v>
      </c>
      <c r="F381">
        <v>10926</v>
      </c>
      <c r="G381">
        <v>60928.2</v>
      </c>
      <c r="H381">
        <v>143323</v>
      </c>
    </row>
    <row r="382" spans="1:8" x14ac:dyDescent="0.25">
      <c r="A382" t="s">
        <v>784</v>
      </c>
      <c r="B382" t="s">
        <v>1589</v>
      </c>
      <c r="C382">
        <v>215</v>
      </c>
      <c r="D382">
        <v>1328791</v>
      </c>
      <c r="E382">
        <v>1.3287910000000001</v>
      </c>
      <c r="F382">
        <v>2007</v>
      </c>
      <c r="G382">
        <v>6180.4</v>
      </c>
      <c r="H382">
        <v>27826</v>
      </c>
    </row>
    <row r="383" spans="1:8" x14ac:dyDescent="0.25">
      <c r="A383" t="s">
        <v>785</v>
      </c>
      <c r="B383" t="s">
        <v>1589</v>
      </c>
      <c r="C383">
        <v>191</v>
      </c>
      <c r="D383">
        <v>1147518</v>
      </c>
      <c r="E383">
        <v>1.147518</v>
      </c>
      <c r="F383">
        <v>2004</v>
      </c>
      <c r="G383">
        <v>6007.9</v>
      </c>
      <c r="H383">
        <v>138839</v>
      </c>
    </row>
    <row r="384" spans="1:8" x14ac:dyDescent="0.25">
      <c r="A384" t="s">
        <v>786</v>
      </c>
      <c r="B384" t="s">
        <v>1589</v>
      </c>
      <c r="C384">
        <v>91</v>
      </c>
      <c r="D384">
        <v>1501059</v>
      </c>
      <c r="E384">
        <v>1.5010589999999999</v>
      </c>
      <c r="F384">
        <v>2002</v>
      </c>
      <c r="G384">
        <v>16495.2</v>
      </c>
      <c r="H384">
        <v>178743</v>
      </c>
    </row>
    <row r="385" spans="1:8" x14ac:dyDescent="0.25">
      <c r="A385" t="s">
        <v>787</v>
      </c>
      <c r="B385" t="s">
        <v>1589</v>
      </c>
      <c r="C385">
        <v>401</v>
      </c>
      <c r="D385">
        <v>2143161</v>
      </c>
      <c r="E385">
        <v>2.1431610000000001</v>
      </c>
      <c r="F385">
        <v>2003</v>
      </c>
      <c r="G385">
        <v>5344.5</v>
      </c>
      <c r="H385">
        <v>97560</v>
      </c>
    </row>
    <row r="386" spans="1:8" x14ac:dyDescent="0.25">
      <c r="A386" t="s">
        <v>788</v>
      </c>
      <c r="B386" t="s">
        <v>1589</v>
      </c>
      <c r="C386">
        <v>28</v>
      </c>
      <c r="D386">
        <v>2624938</v>
      </c>
      <c r="E386">
        <v>2.6249380000000002</v>
      </c>
      <c r="F386">
        <v>2153</v>
      </c>
      <c r="G386">
        <v>93747.8</v>
      </c>
      <c r="H386">
        <v>403456</v>
      </c>
    </row>
    <row r="387" spans="1:8" x14ac:dyDescent="0.25">
      <c r="A387" t="s">
        <v>789</v>
      </c>
      <c r="B387" t="s">
        <v>1589</v>
      </c>
      <c r="C387">
        <v>74</v>
      </c>
      <c r="D387">
        <v>1964314</v>
      </c>
      <c r="E387">
        <v>1.9643139999999999</v>
      </c>
      <c r="F387">
        <v>4172</v>
      </c>
      <c r="G387">
        <v>26544.799999999999</v>
      </c>
      <c r="H387">
        <v>105927</v>
      </c>
    </row>
    <row r="388" spans="1:8" x14ac:dyDescent="0.25">
      <c r="A388" t="s">
        <v>790</v>
      </c>
      <c r="B388" t="s">
        <v>1589</v>
      </c>
      <c r="C388">
        <v>100</v>
      </c>
      <c r="D388">
        <v>3015824</v>
      </c>
      <c r="E388">
        <v>3.0158239999999998</v>
      </c>
      <c r="F388">
        <v>2610</v>
      </c>
      <c r="G388">
        <v>30158.2</v>
      </c>
      <c r="H388">
        <v>144052</v>
      </c>
    </row>
    <row r="389" spans="1:8" x14ac:dyDescent="0.25">
      <c r="A389" t="s">
        <v>791</v>
      </c>
      <c r="B389" t="s">
        <v>1589</v>
      </c>
      <c r="C389">
        <v>17</v>
      </c>
      <c r="D389">
        <v>1449644</v>
      </c>
      <c r="E389">
        <v>1.4496439999999999</v>
      </c>
      <c r="F389">
        <v>4359</v>
      </c>
      <c r="G389">
        <v>85273.2</v>
      </c>
      <c r="H389">
        <v>272917</v>
      </c>
    </row>
    <row r="390" spans="1:8" x14ac:dyDescent="0.25">
      <c r="A390" t="s">
        <v>792</v>
      </c>
      <c r="B390" t="s">
        <v>1589</v>
      </c>
      <c r="C390">
        <v>229</v>
      </c>
      <c r="D390">
        <v>935281</v>
      </c>
      <c r="E390">
        <v>0.93528100000000003</v>
      </c>
      <c r="F390">
        <v>2014</v>
      </c>
      <c r="G390">
        <v>4084.2</v>
      </c>
      <c r="H390">
        <v>17693</v>
      </c>
    </row>
    <row r="391" spans="1:8" x14ac:dyDescent="0.25">
      <c r="A391" t="s">
        <v>793</v>
      </c>
      <c r="B391" t="s">
        <v>1589</v>
      </c>
      <c r="C391">
        <v>124</v>
      </c>
      <c r="D391">
        <v>2320822</v>
      </c>
      <c r="E391">
        <v>2.3208220000000002</v>
      </c>
      <c r="F391">
        <v>2035</v>
      </c>
      <c r="G391">
        <v>18716.3</v>
      </c>
      <c r="H391">
        <v>244088</v>
      </c>
    </row>
    <row r="392" spans="1:8" x14ac:dyDescent="0.25">
      <c r="A392" t="s">
        <v>794</v>
      </c>
      <c r="B392" t="s">
        <v>1589</v>
      </c>
      <c r="C392">
        <v>304</v>
      </c>
      <c r="D392">
        <v>1201082</v>
      </c>
      <c r="E392">
        <v>1.201082</v>
      </c>
      <c r="F392">
        <v>2010</v>
      </c>
      <c r="G392">
        <v>3950.9</v>
      </c>
      <c r="H392">
        <v>21618</v>
      </c>
    </row>
    <row r="393" spans="1:8" x14ac:dyDescent="0.25">
      <c r="A393" t="s">
        <v>795</v>
      </c>
      <c r="B393" t="s">
        <v>1589</v>
      </c>
      <c r="C393">
        <v>97</v>
      </c>
      <c r="D393">
        <v>1324568</v>
      </c>
      <c r="E393">
        <v>1.324568</v>
      </c>
      <c r="F393">
        <v>2055</v>
      </c>
      <c r="G393">
        <v>13655.3</v>
      </c>
      <c r="H393">
        <v>182233</v>
      </c>
    </row>
    <row r="394" spans="1:8" x14ac:dyDescent="0.25">
      <c r="A394" t="s">
        <v>796</v>
      </c>
      <c r="B394" t="s">
        <v>1589</v>
      </c>
      <c r="C394">
        <v>327</v>
      </c>
      <c r="D394">
        <v>2202888</v>
      </c>
      <c r="E394">
        <v>2.2028880000000002</v>
      </c>
      <c r="F394">
        <v>2003</v>
      </c>
      <c r="G394">
        <v>6736.7</v>
      </c>
      <c r="H394">
        <v>41041</v>
      </c>
    </row>
    <row r="395" spans="1:8" x14ac:dyDescent="0.25">
      <c r="A395" t="s">
        <v>797</v>
      </c>
      <c r="B395" t="s">
        <v>1589</v>
      </c>
      <c r="C395">
        <v>216</v>
      </c>
      <c r="D395">
        <v>1629878</v>
      </c>
      <c r="E395">
        <v>1.6298779999999999</v>
      </c>
      <c r="F395">
        <v>2008</v>
      </c>
      <c r="G395">
        <v>7545.7</v>
      </c>
      <c r="H395">
        <v>94113</v>
      </c>
    </row>
    <row r="396" spans="1:8" x14ac:dyDescent="0.25">
      <c r="A396" t="s">
        <v>798</v>
      </c>
      <c r="B396" t="s">
        <v>1589</v>
      </c>
      <c r="C396">
        <v>224</v>
      </c>
      <c r="D396">
        <v>1162700</v>
      </c>
      <c r="E396">
        <v>1.1627000000000001</v>
      </c>
      <c r="F396">
        <v>2004</v>
      </c>
      <c r="G396">
        <v>5190.6000000000004</v>
      </c>
      <c r="H396">
        <v>90771</v>
      </c>
    </row>
    <row r="397" spans="1:8" x14ac:dyDescent="0.25">
      <c r="A397" t="s">
        <v>799</v>
      </c>
      <c r="B397" t="s">
        <v>1589</v>
      </c>
      <c r="C397">
        <v>367</v>
      </c>
      <c r="D397">
        <v>1882589</v>
      </c>
      <c r="E397">
        <v>1.8825890000000001</v>
      </c>
      <c r="F397">
        <v>2013</v>
      </c>
      <c r="G397">
        <v>5129.7</v>
      </c>
      <c r="H397">
        <v>59170</v>
      </c>
    </row>
    <row r="398" spans="1:8" x14ac:dyDescent="0.25">
      <c r="A398" t="s">
        <v>800</v>
      </c>
      <c r="B398" t="s">
        <v>1589</v>
      </c>
      <c r="C398">
        <v>43</v>
      </c>
      <c r="D398">
        <v>1663113</v>
      </c>
      <c r="E398">
        <v>1.6631130000000001</v>
      </c>
      <c r="F398">
        <v>2071</v>
      </c>
      <c r="G398">
        <v>38677</v>
      </c>
      <c r="H398">
        <v>365610</v>
      </c>
    </row>
    <row r="399" spans="1:8" x14ac:dyDescent="0.25">
      <c r="A399" t="s">
        <v>801</v>
      </c>
      <c r="B399" t="s">
        <v>1589</v>
      </c>
      <c r="C399">
        <v>13</v>
      </c>
      <c r="D399">
        <v>2053890</v>
      </c>
      <c r="E399">
        <v>2.05389</v>
      </c>
      <c r="F399">
        <v>13377</v>
      </c>
      <c r="G399">
        <v>157991.5</v>
      </c>
      <c r="H399">
        <v>444699</v>
      </c>
    </row>
    <row r="400" spans="1:8" x14ac:dyDescent="0.25">
      <c r="A400" t="s">
        <v>802</v>
      </c>
      <c r="B400" t="s">
        <v>1589</v>
      </c>
      <c r="C400">
        <v>20</v>
      </c>
      <c r="D400">
        <v>1072189</v>
      </c>
      <c r="E400">
        <v>1.0721890000000001</v>
      </c>
      <c r="F400">
        <v>8762</v>
      </c>
      <c r="G400">
        <v>53609.5</v>
      </c>
      <c r="H400">
        <v>112684</v>
      </c>
    </row>
    <row r="401" spans="1:8" x14ac:dyDescent="0.25">
      <c r="A401" t="s">
        <v>803</v>
      </c>
      <c r="B401" t="s">
        <v>1589</v>
      </c>
      <c r="C401">
        <v>123</v>
      </c>
      <c r="D401">
        <v>2002216</v>
      </c>
      <c r="E401">
        <v>2.0022160000000002</v>
      </c>
      <c r="F401">
        <v>2033</v>
      </c>
      <c r="G401">
        <v>16278.2</v>
      </c>
      <c r="H401">
        <v>136986</v>
      </c>
    </row>
    <row r="402" spans="1:8" x14ac:dyDescent="0.25">
      <c r="A402" t="s">
        <v>804</v>
      </c>
      <c r="B402" t="s">
        <v>1589</v>
      </c>
      <c r="C402">
        <v>190</v>
      </c>
      <c r="D402">
        <v>1002829</v>
      </c>
      <c r="E402">
        <v>1.002829</v>
      </c>
      <c r="F402">
        <v>2011</v>
      </c>
      <c r="G402">
        <v>5278</v>
      </c>
      <c r="H402">
        <v>54242</v>
      </c>
    </row>
    <row r="403" spans="1:8" x14ac:dyDescent="0.25">
      <c r="A403" t="s">
        <v>805</v>
      </c>
      <c r="B403" t="s">
        <v>1589</v>
      </c>
      <c r="C403">
        <v>65</v>
      </c>
      <c r="D403">
        <v>1715853</v>
      </c>
      <c r="E403">
        <v>1.7158530000000001</v>
      </c>
      <c r="F403">
        <v>2561</v>
      </c>
      <c r="G403">
        <v>26397.7</v>
      </c>
      <c r="H403">
        <v>117026</v>
      </c>
    </row>
    <row r="404" spans="1:8" x14ac:dyDescent="0.25">
      <c r="A404" t="s">
        <v>806</v>
      </c>
      <c r="B404" t="s">
        <v>1589</v>
      </c>
      <c r="C404">
        <v>55</v>
      </c>
      <c r="D404">
        <v>1233893</v>
      </c>
      <c r="E404">
        <v>1.2338929999999999</v>
      </c>
      <c r="F404">
        <v>2282</v>
      </c>
      <c r="G404">
        <v>22434.400000000001</v>
      </c>
      <c r="H404">
        <v>80629</v>
      </c>
    </row>
    <row r="405" spans="1:8" x14ac:dyDescent="0.25">
      <c r="A405" t="s">
        <v>807</v>
      </c>
      <c r="B405" t="s">
        <v>1589</v>
      </c>
      <c r="C405">
        <v>73</v>
      </c>
      <c r="D405">
        <v>1690344</v>
      </c>
      <c r="E405">
        <v>1.6903440000000001</v>
      </c>
      <c r="F405">
        <v>2004</v>
      </c>
      <c r="G405">
        <v>23155.4</v>
      </c>
      <c r="H405">
        <v>199020</v>
      </c>
    </row>
    <row r="406" spans="1:8" x14ac:dyDescent="0.25">
      <c r="A406" t="s">
        <v>808</v>
      </c>
      <c r="B406" t="s">
        <v>1589</v>
      </c>
      <c r="C406">
        <v>42</v>
      </c>
      <c r="D406">
        <v>1416587</v>
      </c>
      <c r="E406">
        <v>1.416587</v>
      </c>
      <c r="F406">
        <v>2961</v>
      </c>
      <c r="G406">
        <v>33728.300000000003</v>
      </c>
      <c r="H406">
        <v>244574</v>
      </c>
    </row>
    <row r="407" spans="1:8" x14ac:dyDescent="0.25">
      <c r="A407" t="s">
        <v>809</v>
      </c>
      <c r="B407" t="s">
        <v>1589</v>
      </c>
      <c r="C407">
        <v>306</v>
      </c>
      <c r="D407">
        <v>1849413</v>
      </c>
      <c r="E407">
        <v>1.849413</v>
      </c>
      <c r="F407">
        <v>2012</v>
      </c>
      <c r="G407">
        <v>6043.8</v>
      </c>
      <c r="H407">
        <v>25183</v>
      </c>
    </row>
    <row r="408" spans="1:8" x14ac:dyDescent="0.25">
      <c r="A408" t="s">
        <v>1100</v>
      </c>
      <c r="B408" t="s">
        <v>1589</v>
      </c>
      <c r="C408">
        <v>37</v>
      </c>
      <c r="D408">
        <v>1826269</v>
      </c>
      <c r="E408">
        <v>1.8262689999999999</v>
      </c>
      <c r="F408">
        <v>2399</v>
      </c>
      <c r="G408">
        <v>49358.6</v>
      </c>
      <c r="H408">
        <v>164904</v>
      </c>
    </row>
    <row r="409" spans="1:8" x14ac:dyDescent="0.25">
      <c r="A409" t="s">
        <v>1101</v>
      </c>
      <c r="B409" t="s">
        <v>1589</v>
      </c>
      <c r="C409">
        <v>46</v>
      </c>
      <c r="D409">
        <v>2428502</v>
      </c>
      <c r="E409">
        <v>2.4285019999999999</v>
      </c>
      <c r="F409">
        <v>4948</v>
      </c>
      <c r="G409">
        <v>52793.5</v>
      </c>
      <c r="H409">
        <v>159610</v>
      </c>
    </row>
    <row r="410" spans="1:8" x14ac:dyDescent="0.25">
      <c r="A410" t="s">
        <v>1102</v>
      </c>
      <c r="B410" t="s">
        <v>1589</v>
      </c>
      <c r="C410">
        <v>17</v>
      </c>
      <c r="D410">
        <v>2356545</v>
      </c>
      <c r="E410">
        <v>2.3565450000000001</v>
      </c>
      <c r="F410">
        <v>25797</v>
      </c>
      <c r="G410">
        <v>138620.29999999999</v>
      </c>
      <c r="H410">
        <v>649509</v>
      </c>
    </row>
    <row r="411" spans="1:8" x14ac:dyDescent="0.25">
      <c r="A411" t="s">
        <v>1103</v>
      </c>
      <c r="B411" t="s">
        <v>1589</v>
      </c>
      <c r="C411">
        <v>6</v>
      </c>
      <c r="D411">
        <v>2448247</v>
      </c>
      <c r="E411">
        <v>2.4482469999999998</v>
      </c>
      <c r="F411">
        <v>2248</v>
      </c>
      <c r="G411">
        <v>408041.2</v>
      </c>
      <c r="H411">
        <v>1508263</v>
      </c>
    </row>
    <row r="412" spans="1:8" x14ac:dyDescent="0.25">
      <c r="A412" t="s">
        <v>1104</v>
      </c>
      <c r="B412" t="s">
        <v>1589</v>
      </c>
      <c r="C412">
        <v>8</v>
      </c>
      <c r="D412">
        <v>3502225</v>
      </c>
      <c r="E412">
        <v>3.5022250000000001</v>
      </c>
      <c r="F412">
        <v>53567</v>
      </c>
      <c r="G412">
        <v>437778.1</v>
      </c>
      <c r="H412">
        <v>790090</v>
      </c>
    </row>
    <row r="413" spans="1:8" x14ac:dyDescent="0.25">
      <c r="A413" t="s">
        <v>1105</v>
      </c>
      <c r="B413" t="s">
        <v>1589</v>
      </c>
      <c r="C413">
        <v>22</v>
      </c>
      <c r="D413">
        <v>4869217</v>
      </c>
      <c r="E413">
        <v>4.8692169999999999</v>
      </c>
      <c r="F413">
        <v>2120</v>
      </c>
      <c r="G413">
        <v>221328</v>
      </c>
      <c r="H413">
        <v>1045009</v>
      </c>
    </row>
    <row r="414" spans="1:8" x14ac:dyDescent="0.25">
      <c r="A414" t="s">
        <v>1106</v>
      </c>
      <c r="B414" t="s">
        <v>1589</v>
      </c>
      <c r="C414">
        <v>8</v>
      </c>
      <c r="D414">
        <v>3970304</v>
      </c>
      <c r="E414">
        <v>3.9703040000000001</v>
      </c>
      <c r="F414">
        <v>43611</v>
      </c>
      <c r="G414">
        <v>496288</v>
      </c>
      <c r="H414">
        <v>1880712</v>
      </c>
    </row>
    <row r="415" spans="1:8" x14ac:dyDescent="0.25">
      <c r="A415" t="s">
        <v>1107</v>
      </c>
      <c r="B415" t="s">
        <v>1589</v>
      </c>
      <c r="C415">
        <v>3</v>
      </c>
      <c r="D415">
        <v>3064278</v>
      </c>
      <c r="E415">
        <v>3.0642779999999998</v>
      </c>
      <c r="F415">
        <v>344289</v>
      </c>
      <c r="G415">
        <v>1021426</v>
      </c>
      <c r="H415">
        <v>1984705</v>
      </c>
    </row>
    <row r="416" spans="1:8" x14ac:dyDescent="0.25">
      <c r="A416" t="s">
        <v>1108</v>
      </c>
      <c r="B416" t="s">
        <v>1589</v>
      </c>
      <c r="C416">
        <v>46</v>
      </c>
      <c r="D416">
        <v>3751827</v>
      </c>
      <c r="E416">
        <v>3.751827</v>
      </c>
      <c r="F416">
        <v>2294</v>
      </c>
      <c r="G416">
        <v>81561.5</v>
      </c>
      <c r="H416">
        <v>1010927</v>
      </c>
    </row>
    <row r="417" spans="1:8" x14ac:dyDescent="0.25">
      <c r="A417" t="s">
        <v>1109</v>
      </c>
      <c r="B417" t="s">
        <v>1589</v>
      </c>
      <c r="C417">
        <v>51</v>
      </c>
      <c r="D417">
        <v>2526244</v>
      </c>
      <c r="E417">
        <v>2.5262440000000002</v>
      </c>
      <c r="F417">
        <v>3255</v>
      </c>
      <c r="G417">
        <v>49534.2</v>
      </c>
      <c r="H417">
        <v>147492</v>
      </c>
    </row>
    <row r="418" spans="1:8" x14ac:dyDescent="0.25">
      <c r="A418" t="s">
        <v>1110</v>
      </c>
      <c r="B418" t="s">
        <v>1589</v>
      </c>
      <c r="C418">
        <v>43</v>
      </c>
      <c r="D418">
        <v>1527551</v>
      </c>
      <c r="E418">
        <v>1.5275510000000001</v>
      </c>
      <c r="F418">
        <v>2097</v>
      </c>
      <c r="G418">
        <v>35524.400000000001</v>
      </c>
      <c r="H418">
        <v>164475</v>
      </c>
    </row>
    <row r="419" spans="1:8" x14ac:dyDescent="0.25">
      <c r="A419" t="s">
        <v>1111</v>
      </c>
      <c r="B419" t="s">
        <v>1589</v>
      </c>
      <c r="C419">
        <v>47</v>
      </c>
      <c r="D419">
        <v>2995093</v>
      </c>
      <c r="E419">
        <v>2.9950929999999998</v>
      </c>
      <c r="F419">
        <v>2156</v>
      </c>
      <c r="G419">
        <v>63725.4</v>
      </c>
      <c r="H419">
        <v>200458</v>
      </c>
    </row>
    <row r="420" spans="1:8" x14ac:dyDescent="0.25">
      <c r="A420" t="s">
        <v>1112</v>
      </c>
      <c r="B420" t="s">
        <v>1589</v>
      </c>
      <c r="C420">
        <v>12</v>
      </c>
      <c r="D420">
        <v>1585306</v>
      </c>
      <c r="E420">
        <v>1.5853060000000001</v>
      </c>
      <c r="F420">
        <v>2000</v>
      </c>
      <c r="G420">
        <v>132108.79999999999</v>
      </c>
      <c r="H420">
        <v>322288</v>
      </c>
    </row>
    <row r="421" spans="1:8" x14ac:dyDescent="0.25">
      <c r="A421" t="s">
        <v>1113</v>
      </c>
      <c r="B421" t="s">
        <v>1589</v>
      </c>
      <c r="C421">
        <v>172</v>
      </c>
      <c r="D421">
        <v>2447648</v>
      </c>
      <c r="E421">
        <v>2.447648</v>
      </c>
      <c r="F421">
        <v>2010</v>
      </c>
      <c r="G421">
        <v>14230.5</v>
      </c>
      <c r="H421">
        <v>184891</v>
      </c>
    </row>
    <row r="422" spans="1:8" x14ac:dyDescent="0.25">
      <c r="A422" t="s">
        <v>1114</v>
      </c>
      <c r="B422" t="s">
        <v>1589</v>
      </c>
      <c r="C422">
        <v>222</v>
      </c>
      <c r="D422">
        <v>3258682</v>
      </c>
      <c r="E422">
        <v>3.2586819999999999</v>
      </c>
      <c r="F422">
        <v>2006</v>
      </c>
      <c r="G422">
        <v>14678.7</v>
      </c>
      <c r="H422">
        <v>396000</v>
      </c>
    </row>
    <row r="423" spans="1:8" x14ac:dyDescent="0.25">
      <c r="A423" t="s">
        <v>1115</v>
      </c>
      <c r="B423" t="s">
        <v>1589</v>
      </c>
      <c r="C423">
        <v>17</v>
      </c>
      <c r="D423">
        <v>2755021</v>
      </c>
      <c r="E423">
        <v>2.7550210000000002</v>
      </c>
      <c r="F423">
        <v>2176</v>
      </c>
      <c r="G423">
        <v>162060.1</v>
      </c>
      <c r="H423">
        <v>977664</v>
      </c>
    </row>
    <row r="424" spans="1:8" x14ac:dyDescent="0.25">
      <c r="A424" t="s">
        <v>1116</v>
      </c>
      <c r="B424" t="s">
        <v>1589</v>
      </c>
      <c r="C424">
        <v>106</v>
      </c>
      <c r="D424">
        <v>2173946</v>
      </c>
      <c r="E424">
        <v>2.1739459999999999</v>
      </c>
      <c r="F424">
        <v>2016</v>
      </c>
      <c r="G424">
        <v>20508.900000000001</v>
      </c>
      <c r="H424">
        <v>120904</v>
      </c>
    </row>
    <row r="425" spans="1:8" x14ac:dyDescent="0.25">
      <c r="A425" t="s">
        <v>1117</v>
      </c>
      <c r="B425" t="s">
        <v>1589</v>
      </c>
      <c r="C425">
        <v>15</v>
      </c>
      <c r="D425">
        <v>3073491</v>
      </c>
      <c r="E425">
        <v>3.0734910000000002</v>
      </c>
      <c r="F425">
        <v>15596</v>
      </c>
      <c r="G425">
        <v>204899.4</v>
      </c>
      <c r="H425">
        <v>771141</v>
      </c>
    </row>
    <row r="426" spans="1:8" x14ac:dyDescent="0.25">
      <c r="A426" t="s">
        <v>1118</v>
      </c>
      <c r="B426" t="s">
        <v>1589</v>
      </c>
      <c r="C426">
        <v>1</v>
      </c>
      <c r="D426">
        <v>2014920</v>
      </c>
      <c r="E426">
        <v>2.01492</v>
      </c>
      <c r="F426">
        <v>2014920</v>
      </c>
      <c r="G426">
        <v>2014920</v>
      </c>
      <c r="H426">
        <v>2014920</v>
      </c>
    </row>
    <row r="427" spans="1:8" x14ac:dyDescent="0.25">
      <c r="A427" t="s">
        <v>1119</v>
      </c>
      <c r="B427" t="s">
        <v>1589</v>
      </c>
      <c r="C427">
        <v>17</v>
      </c>
      <c r="D427">
        <v>2032662</v>
      </c>
      <c r="E427">
        <v>2.0326620000000002</v>
      </c>
      <c r="F427">
        <v>2096</v>
      </c>
      <c r="G427">
        <v>119568.4</v>
      </c>
      <c r="H427">
        <v>428365</v>
      </c>
    </row>
    <row r="428" spans="1:8" x14ac:dyDescent="0.25">
      <c r="A428" t="s">
        <v>1120</v>
      </c>
      <c r="B428" t="s">
        <v>1589</v>
      </c>
      <c r="C428">
        <v>66</v>
      </c>
      <c r="D428">
        <v>2201988</v>
      </c>
      <c r="E428">
        <v>2.2019880000000001</v>
      </c>
      <c r="F428">
        <v>2003</v>
      </c>
      <c r="G428">
        <v>33363.5</v>
      </c>
      <c r="H428">
        <v>273619</v>
      </c>
    </row>
    <row r="429" spans="1:8" x14ac:dyDescent="0.25">
      <c r="A429" t="s">
        <v>1121</v>
      </c>
      <c r="B429" t="s">
        <v>1589</v>
      </c>
      <c r="C429">
        <v>334</v>
      </c>
      <c r="D429">
        <v>1485349</v>
      </c>
      <c r="E429">
        <v>1.485349</v>
      </c>
      <c r="F429">
        <v>2003</v>
      </c>
      <c r="G429">
        <v>4447.2</v>
      </c>
      <c r="H429">
        <v>48382</v>
      </c>
    </row>
    <row r="430" spans="1:8" x14ac:dyDescent="0.25">
      <c r="A430" t="s">
        <v>1122</v>
      </c>
      <c r="B430" t="s">
        <v>1589</v>
      </c>
      <c r="C430">
        <v>23</v>
      </c>
      <c r="D430">
        <v>2845022</v>
      </c>
      <c r="E430">
        <v>2.8450220000000002</v>
      </c>
      <c r="F430">
        <v>6459</v>
      </c>
      <c r="G430">
        <v>123696.6</v>
      </c>
      <c r="H430">
        <v>841147</v>
      </c>
    </row>
    <row r="431" spans="1:8" x14ac:dyDescent="0.25">
      <c r="A431" t="s">
        <v>1123</v>
      </c>
      <c r="B431" t="s">
        <v>1589</v>
      </c>
      <c r="C431">
        <v>66</v>
      </c>
      <c r="D431">
        <v>1759036</v>
      </c>
      <c r="E431">
        <v>1.759036</v>
      </c>
      <c r="F431">
        <v>2015</v>
      </c>
      <c r="G431">
        <v>26652.1</v>
      </c>
      <c r="H431">
        <v>169190</v>
      </c>
    </row>
    <row r="432" spans="1:8" x14ac:dyDescent="0.25">
      <c r="A432" t="s">
        <v>1124</v>
      </c>
      <c r="B432" t="s">
        <v>1589</v>
      </c>
      <c r="C432">
        <v>116</v>
      </c>
      <c r="D432">
        <v>2173287</v>
      </c>
      <c r="E432">
        <v>2.1732870000000002</v>
      </c>
      <c r="F432">
        <v>2565</v>
      </c>
      <c r="G432">
        <v>18735.2</v>
      </c>
      <c r="H432">
        <v>186678</v>
      </c>
    </row>
    <row r="433" spans="1:8" x14ac:dyDescent="0.25">
      <c r="A433" t="s">
        <v>1125</v>
      </c>
      <c r="B433" t="s">
        <v>1589</v>
      </c>
      <c r="C433">
        <v>51</v>
      </c>
      <c r="D433">
        <v>3653553</v>
      </c>
      <c r="E433">
        <v>3.6535530000000001</v>
      </c>
      <c r="F433">
        <v>2571</v>
      </c>
      <c r="G433">
        <v>71638.3</v>
      </c>
      <c r="H433">
        <v>392514</v>
      </c>
    </row>
    <row r="434" spans="1:8" x14ac:dyDescent="0.25">
      <c r="A434" t="s">
        <v>1126</v>
      </c>
      <c r="B434" t="s">
        <v>1589</v>
      </c>
      <c r="C434">
        <v>35</v>
      </c>
      <c r="D434">
        <v>3153050</v>
      </c>
      <c r="E434">
        <v>3.1530499999999999</v>
      </c>
      <c r="F434">
        <v>2826</v>
      </c>
      <c r="G434">
        <v>90087.1</v>
      </c>
      <c r="H434">
        <v>1927391</v>
      </c>
    </row>
    <row r="435" spans="1:8" x14ac:dyDescent="0.25">
      <c r="A435" t="s">
        <v>1127</v>
      </c>
      <c r="B435" t="s">
        <v>1589</v>
      </c>
      <c r="C435">
        <v>55</v>
      </c>
      <c r="D435">
        <v>1547034</v>
      </c>
      <c r="E435">
        <v>1.547034</v>
      </c>
      <c r="F435">
        <v>2103</v>
      </c>
      <c r="G435">
        <v>28127.9</v>
      </c>
      <c r="H435">
        <v>123809</v>
      </c>
    </row>
    <row r="436" spans="1:8" x14ac:dyDescent="0.25">
      <c r="A436" t="s">
        <v>1128</v>
      </c>
      <c r="B436" t="s">
        <v>1589</v>
      </c>
      <c r="C436">
        <v>51</v>
      </c>
      <c r="D436">
        <v>1916677</v>
      </c>
      <c r="E436">
        <v>1.916677</v>
      </c>
      <c r="F436">
        <v>2899</v>
      </c>
      <c r="G436">
        <v>37581.9</v>
      </c>
      <c r="H436">
        <v>209182</v>
      </c>
    </row>
    <row r="437" spans="1:8" x14ac:dyDescent="0.25">
      <c r="A437" t="s">
        <v>1129</v>
      </c>
      <c r="B437" t="s">
        <v>1589</v>
      </c>
      <c r="C437">
        <v>15</v>
      </c>
      <c r="D437">
        <v>2140318</v>
      </c>
      <c r="E437">
        <v>2.1403180000000002</v>
      </c>
      <c r="F437">
        <v>2449</v>
      </c>
      <c r="G437">
        <v>142687.9</v>
      </c>
      <c r="H437">
        <v>1558321</v>
      </c>
    </row>
    <row r="438" spans="1:8" x14ac:dyDescent="0.25">
      <c r="A438" t="s">
        <v>1130</v>
      </c>
      <c r="B438" t="s">
        <v>1589</v>
      </c>
      <c r="C438">
        <v>51</v>
      </c>
      <c r="D438">
        <v>1360528</v>
      </c>
      <c r="E438">
        <v>1.360528</v>
      </c>
      <c r="F438">
        <v>2766</v>
      </c>
      <c r="G438">
        <v>26677</v>
      </c>
      <c r="H438">
        <v>78167</v>
      </c>
    </row>
    <row r="439" spans="1:8" x14ac:dyDescent="0.25">
      <c r="A439" t="s">
        <v>1131</v>
      </c>
      <c r="B439" t="s">
        <v>1589</v>
      </c>
      <c r="C439">
        <v>39</v>
      </c>
      <c r="D439">
        <v>1901698</v>
      </c>
      <c r="E439">
        <v>1.9016980000000001</v>
      </c>
      <c r="F439">
        <v>4909</v>
      </c>
      <c r="G439">
        <v>48761.5</v>
      </c>
      <c r="H439">
        <v>240627</v>
      </c>
    </row>
    <row r="440" spans="1:8" x14ac:dyDescent="0.25">
      <c r="A440" t="s">
        <v>1132</v>
      </c>
      <c r="B440" t="s">
        <v>1589</v>
      </c>
      <c r="C440">
        <v>27</v>
      </c>
      <c r="D440">
        <v>2617989</v>
      </c>
      <c r="E440">
        <v>2.6179890000000001</v>
      </c>
      <c r="F440">
        <v>13604</v>
      </c>
      <c r="G440">
        <v>96962.6</v>
      </c>
      <c r="H440">
        <v>320860</v>
      </c>
    </row>
    <row r="441" spans="1:8" x14ac:dyDescent="0.25">
      <c r="A441" t="s">
        <v>1133</v>
      </c>
      <c r="B441" t="s">
        <v>1589</v>
      </c>
      <c r="C441">
        <v>18</v>
      </c>
      <c r="D441">
        <v>5199688</v>
      </c>
      <c r="E441">
        <v>5.1996880000000001</v>
      </c>
      <c r="F441">
        <v>12930</v>
      </c>
      <c r="G441">
        <v>288871.59999999998</v>
      </c>
      <c r="H441">
        <v>1180349</v>
      </c>
    </row>
    <row r="442" spans="1:8" x14ac:dyDescent="0.25">
      <c r="A442" t="s">
        <v>1134</v>
      </c>
      <c r="B442" t="s">
        <v>1589</v>
      </c>
      <c r="C442">
        <v>38</v>
      </c>
      <c r="D442">
        <v>1448544</v>
      </c>
      <c r="E442">
        <v>1.4485440000000001</v>
      </c>
      <c r="F442">
        <v>2148</v>
      </c>
      <c r="G442">
        <v>38119.599999999999</v>
      </c>
      <c r="H442">
        <v>153342</v>
      </c>
    </row>
    <row r="443" spans="1:8" x14ac:dyDescent="0.25">
      <c r="A443" t="s">
        <v>1135</v>
      </c>
      <c r="B443" t="s">
        <v>1589</v>
      </c>
      <c r="C443">
        <v>120</v>
      </c>
      <c r="D443">
        <v>3076537</v>
      </c>
      <c r="E443">
        <v>3.0765370000000001</v>
      </c>
      <c r="F443">
        <v>2008</v>
      </c>
      <c r="G443">
        <v>25637.8</v>
      </c>
      <c r="H443">
        <v>170400</v>
      </c>
    </row>
    <row r="444" spans="1:8" x14ac:dyDescent="0.25">
      <c r="A444" t="s">
        <v>1136</v>
      </c>
      <c r="B444" t="s">
        <v>1589</v>
      </c>
      <c r="C444">
        <v>31</v>
      </c>
      <c r="D444">
        <v>2035431</v>
      </c>
      <c r="E444">
        <v>2.035431</v>
      </c>
      <c r="F444">
        <v>4619</v>
      </c>
      <c r="G444">
        <v>65659.100000000006</v>
      </c>
      <c r="H444">
        <v>420489</v>
      </c>
    </row>
    <row r="445" spans="1:8" x14ac:dyDescent="0.25">
      <c r="A445" t="s">
        <v>1137</v>
      </c>
      <c r="B445" t="s">
        <v>1589</v>
      </c>
      <c r="C445">
        <v>27</v>
      </c>
      <c r="D445">
        <v>2843424</v>
      </c>
      <c r="E445">
        <v>2.8434240000000002</v>
      </c>
      <c r="F445">
        <v>2421</v>
      </c>
      <c r="G445">
        <v>105312</v>
      </c>
      <c r="H445">
        <v>486386</v>
      </c>
    </row>
    <row r="446" spans="1:8" x14ac:dyDescent="0.25">
      <c r="A446" t="s">
        <v>1138</v>
      </c>
      <c r="B446" t="s">
        <v>1589</v>
      </c>
      <c r="C446">
        <v>266</v>
      </c>
      <c r="D446">
        <v>2577092</v>
      </c>
      <c r="E446">
        <v>2.5770919999999999</v>
      </c>
      <c r="F446">
        <v>2001</v>
      </c>
      <c r="G446">
        <v>9688.2999999999993</v>
      </c>
      <c r="H446">
        <v>199527</v>
      </c>
    </row>
    <row r="447" spans="1:8" x14ac:dyDescent="0.25">
      <c r="A447" t="s">
        <v>1139</v>
      </c>
      <c r="B447" t="s">
        <v>1589</v>
      </c>
      <c r="C447">
        <v>6</v>
      </c>
      <c r="D447">
        <v>2557903</v>
      </c>
      <c r="E447">
        <v>2.557903</v>
      </c>
      <c r="F447">
        <v>43116</v>
      </c>
      <c r="G447">
        <v>426317.2</v>
      </c>
      <c r="H447">
        <v>1221704</v>
      </c>
    </row>
    <row r="448" spans="1:8" x14ac:dyDescent="0.25">
      <c r="A448" t="s">
        <v>1140</v>
      </c>
      <c r="B448" t="s">
        <v>1589</v>
      </c>
      <c r="C448">
        <v>16</v>
      </c>
      <c r="D448">
        <v>3211673</v>
      </c>
      <c r="E448">
        <v>3.2116730000000002</v>
      </c>
      <c r="F448">
        <v>2047</v>
      </c>
      <c r="G448">
        <v>200729.60000000001</v>
      </c>
      <c r="H448">
        <v>1197766</v>
      </c>
    </row>
    <row r="449" spans="1:8" x14ac:dyDescent="0.25">
      <c r="A449" t="s">
        <v>1141</v>
      </c>
      <c r="B449" t="s">
        <v>1589</v>
      </c>
      <c r="C449">
        <v>23</v>
      </c>
      <c r="D449">
        <v>2572459</v>
      </c>
      <c r="E449">
        <v>2.5724589999999998</v>
      </c>
      <c r="F449">
        <v>5134</v>
      </c>
      <c r="G449">
        <v>111846</v>
      </c>
      <c r="H449">
        <v>727409</v>
      </c>
    </row>
    <row r="450" spans="1:8" x14ac:dyDescent="0.25">
      <c r="A450" t="s">
        <v>1142</v>
      </c>
      <c r="B450" t="s">
        <v>1589</v>
      </c>
      <c r="C450">
        <v>91</v>
      </c>
      <c r="D450">
        <v>4547256</v>
      </c>
      <c r="E450">
        <v>4.547256</v>
      </c>
      <c r="F450">
        <v>2058</v>
      </c>
      <c r="G450">
        <v>49969.8</v>
      </c>
      <c r="H450">
        <v>245277</v>
      </c>
    </row>
    <row r="451" spans="1:8" x14ac:dyDescent="0.25">
      <c r="A451" t="s">
        <v>1143</v>
      </c>
      <c r="B451" t="s">
        <v>1589</v>
      </c>
      <c r="C451">
        <v>22</v>
      </c>
      <c r="D451">
        <v>3909447</v>
      </c>
      <c r="E451">
        <v>3.9094470000000001</v>
      </c>
      <c r="F451">
        <v>16339</v>
      </c>
      <c r="G451">
        <v>177702.1</v>
      </c>
      <c r="H451">
        <v>855122</v>
      </c>
    </row>
    <row r="452" spans="1:8" x14ac:dyDescent="0.25">
      <c r="A452" t="s">
        <v>1144</v>
      </c>
      <c r="B452" t="s">
        <v>1589</v>
      </c>
      <c r="C452">
        <v>37</v>
      </c>
      <c r="D452">
        <v>5243356</v>
      </c>
      <c r="E452">
        <v>5.2433560000000003</v>
      </c>
      <c r="F452">
        <v>5784</v>
      </c>
      <c r="G452">
        <v>141712.29999999999</v>
      </c>
      <c r="H452">
        <v>601719</v>
      </c>
    </row>
    <row r="453" spans="1:8" x14ac:dyDescent="0.25">
      <c r="A453" t="s">
        <v>1145</v>
      </c>
      <c r="B453" t="s">
        <v>1589</v>
      </c>
      <c r="C453">
        <v>93</v>
      </c>
      <c r="D453">
        <v>4591753</v>
      </c>
      <c r="E453">
        <v>4.5917529999999998</v>
      </c>
      <c r="F453">
        <v>2547</v>
      </c>
      <c r="G453">
        <v>49373.7</v>
      </c>
      <c r="H453">
        <v>249484</v>
      </c>
    </row>
    <row r="454" spans="1:8" x14ac:dyDescent="0.25">
      <c r="A454" t="s">
        <v>1146</v>
      </c>
      <c r="B454" t="s">
        <v>1589</v>
      </c>
      <c r="C454">
        <v>10</v>
      </c>
      <c r="D454">
        <v>2689072</v>
      </c>
      <c r="E454">
        <v>2.6890719999999999</v>
      </c>
      <c r="F454">
        <v>18752</v>
      </c>
      <c r="G454">
        <v>268907.2</v>
      </c>
      <c r="H454">
        <v>672449</v>
      </c>
    </row>
    <row r="455" spans="1:8" x14ac:dyDescent="0.25">
      <c r="A455" t="s">
        <v>1147</v>
      </c>
      <c r="B455" t="s">
        <v>1589</v>
      </c>
      <c r="C455">
        <v>39</v>
      </c>
      <c r="D455">
        <v>3549500</v>
      </c>
      <c r="E455">
        <v>3.5495000000000001</v>
      </c>
      <c r="F455">
        <v>2223</v>
      </c>
      <c r="G455">
        <v>91012.800000000003</v>
      </c>
      <c r="H455">
        <v>913325</v>
      </c>
    </row>
    <row r="456" spans="1:8" x14ac:dyDescent="0.25">
      <c r="A456" t="s">
        <v>1148</v>
      </c>
      <c r="B456" t="s">
        <v>1589</v>
      </c>
      <c r="C456">
        <v>62</v>
      </c>
      <c r="D456">
        <v>2914185</v>
      </c>
      <c r="E456">
        <v>2.9141849999999998</v>
      </c>
      <c r="F456">
        <v>2809</v>
      </c>
      <c r="G456">
        <v>47003</v>
      </c>
      <c r="H456">
        <v>386512</v>
      </c>
    </row>
    <row r="457" spans="1:8" x14ac:dyDescent="0.25">
      <c r="A457" t="s">
        <v>1149</v>
      </c>
      <c r="B457" t="s">
        <v>1589</v>
      </c>
      <c r="C457">
        <v>6</v>
      </c>
      <c r="D457">
        <v>2387030</v>
      </c>
      <c r="E457">
        <v>2.3870300000000002</v>
      </c>
      <c r="F457">
        <v>7390</v>
      </c>
      <c r="G457">
        <v>397838.3</v>
      </c>
      <c r="H457">
        <v>852330</v>
      </c>
    </row>
    <row r="458" spans="1:8" x14ac:dyDescent="0.25">
      <c r="A458" t="s">
        <v>1150</v>
      </c>
      <c r="B458" t="s">
        <v>1589</v>
      </c>
      <c r="C458">
        <v>18</v>
      </c>
      <c r="D458">
        <v>3655706</v>
      </c>
      <c r="E458">
        <v>3.6557059999999999</v>
      </c>
      <c r="F458">
        <v>16745</v>
      </c>
      <c r="G458">
        <v>203094.8</v>
      </c>
      <c r="H458">
        <v>685412</v>
      </c>
    </row>
    <row r="459" spans="1:8" x14ac:dyDescent="0.25">
      <c r="A459" t="s">
        <v>1151</v>
      </c>
      <c r="B459" t="s">
        <v>1589</v>
      </c>
      <c r="C459">
        <v>30</v>
      </c>
      <c r="D459">
        <v>2790212</v>
      </c>
      <c r="E459">
        <v>2.7902119999999999</v>
      </c>
      <c r="F459">
        <v>5044</v>
      </c>
      <c r="G459">
        <v>93007.1</v>
      </c>
      <c r="H459">
        <v>315405</v>
      </c>
    </row>
    <row r="460" spans="1:8" x14ac:dyDescent="0.25">
      <c r="A460" t="s">
        <v>1152</v>
      </c>
      <c r="B460" t="s">
        <v>1589</v>
      </c>
      <c r="C460">
        <v>781</v>
      </c>
      <c r="D460">
        <v>5195864</v>
      </c>
      <c r="E460">
        <v>5.1958640000000003</v>
      </c>
      <c r="F460">
        <v>2510</v>
      </c>
      <c r="G460">
        <v>6652.8</v>
      </c>
      <c r="H460">
        <v>88955</v>
      </c>
    </row>
    <row r="461" spans="1:8" x14ac:dyDescent="0.25">
      <c r="A461" t="s">
        <v>1153</v>
      </c>
      <c r="B461" t="s">
        <v>1589</v>
      </c>
      <c r="C461">
        <v>10</v>
      </c>
      <c r="D461">
        <v>3911889</v>
      </c>
      <c r="E461">
        <v>3.9118889999999999</v>
      </c>
      <c r="F461">
        <v>15687</v>
      </c>
      <c r="G461">
        <v>391188.9</v>
      </c>
      <c r="H461">
        <v>985895</v>
      </c>
    </row>
    <row r="462" spans="1:8" x14ac:dyDescent="0.25">
      <c r="A462" t="s">
        <v>1154</v>
      </c>
      <c r="B462" t="s">
        <v>1589</v>
      </c>
      <c r="C462">
        <v>26</v>
      </c>
      <c r="D462">
        <v>4255492</v>
      </c>
      <c r="E462">
        <v>4.2554920000000003</v>
      </c>
      <c r="F462">
        <v>7224</v>
      </c>
      <c r="G462">
        <v>163672.79999999999</v>
      </c>
      <c r="H462">
        <v>918703</v>
      </c>
    </row>
    <row r="463" spans="1:8" x14ac:dyDescent="0.25">
      <c r="A463" t="s">
        <v>1155</v>
      </c>
      <c r="B463" t="s">
        <v>1589</v>
      </c>
      <c r="C463">
        <v>20</v>
      </c>
      <c r="D463">
        <v>4639895</v>
      </c>
      <c r="E463">
        <v>4.6398950000000001</v>
      </c>
      <c r="F463">
        <v>8312</v>
      </c>
      <c r="G463">
        <v>231994.8</v>
      </c>
      <c r="H463">
        <v>849505</v>
      </c>
    </row>
    <row r="464" spans="1:8" x14ac:dyDescent="0.25">
      <c r="A464" t="s">
        <v>1156</v>
      </c>
      <c r="B464" t="s">
        <v>1589</v>
      </c>
      <c r="C464">
        <v>45</v>
      </c>
      <c r="D464">
        <v>5299571</v>
      </c>
      <c r="E464">
        <v>5.2995710000000003</v>
      </c>
      <c r="F464">
        <v>8072</v>
      </c>
      <c r="G464">
        <v>117768.2</v>
      </c>
      <c r="H464">
        <v>514654</v>
      </c>
    </row>
    <row r="465" spans="1:8" x14ac:dyDescent="0.25">
      <c r="A465" t="s">
        <v>1157</v>
      </c>
      <c r="B465" t="s">
        <v>1589</v>
      </c>
      <c r="C465">
        <v>20</v>
      </c>
      <c r="D465">
        <v>2578318</v>
      </c>
      <c r="E465">
        <v>2.5783179999999999</v>
      </c>
      <c r="F465">
        <v>4056</v>
      </c>
      <c r="G465">
        <v>128915.9</v>
      </c>
      <c r="H465">
        <v>448097</v>
      </c>
    </row>
    <row r="466" spans="1:8" x14ac:dyDescent="0.25">
      <c r="A466" t="s">
        <v>1158</v>
      </c>
      <c r="B466" t="s">
        <v>1589</v>
      </c>
      <c r="C466">
        <v>56</v>
      </c>
      <c r="D466">
        <v>4747454</v>
      </c>
      <c r="E466">
        <v>4.7474540000000003</v>
      </c>
      <c r="F466">
        <v>4775</v>
      </c>
      <c r="G466">
        <v>84776</v>
      </c>
      <c r="H466">
        <v>389169</v>
      </c>
    </row>
    <row r="467" spans="1:8" x14ac:dyDescent="0.25">
      <c r="A467" t="s">
        <v>1159</v>
      </c>
      <c r="B467" t="s">
        <v>1589</v>
      </c>
      <c r="C467">
        <v>31</v>
      </c>
      <c r="D467">
        <v>2936836</v>
      </c>
      <c r="E467">
        <v>2.936836</v>
      </c>
      <c r="F467">
        <v>9097</v>
      </c>
      <c r="G467">
        <v>94736.6</v>
      </c>
      <c r="H467">
        <v>380491</v>
      </c>
    </row>
    <row r="468" spans="1:8" x14ac:dyDescent="0.25">
      <c r="A468" t="s">
        <v>1160</v>
      </c>
      <c r="B468" t="s">
        <v>1589</v>
      </c>
      <c r="C468">
        <v>16</v>
      </c>
      <c r="D468">
        <v>2503630</v>
      </c>
      <c r="E468">
        <v>2.5036299999999998</v>
      </c>
      <c r="F468">
        <v>24586</v>
      </c>
      <c r="G468">
        <v>156476.9</v>
      </c>
      <c r="H468">
        <v>1127767</v>
      </c>
    </row>
    <row r="469" spans="1:8" x14ac:dyDescent="0.25">
      <c r="A469" t="s">
        <v>1161</v>
      </c>
      <c r="B469" t="s">
        <v>1589</v>
      </c>
      <c r="C469">
        <v>79</v>
      </c>
      <c r="D469">
        <v>3721323</v>
      </c>
      <c r="E469">
        <v>3.7213229999999999</v>
      </c>
      <c r="F469">
        <v>2044</v>
      </c>
      <c r="G469">
        <v>47105.4</v>
      </c>
      <c r="H469">
        <v>394938</v>
      </c>
    </row>
    <row r="470" spans="1:8" x14ac:dyDescent="0.25">
      <c r="A470" t="s">
        <v>1162</v>
      </c>
      <c r="B470" t="s">
        <v>1589</v>
      </c>
      <c r="C470">
        <v>81</v>
      </c>
      <c r="D470">
        <v>3780067</v>
      </c>
      <c r="E470">
        <v>3.7800669999999998</v>
      </c>
      <c r="F470">
        <v>2023</v>
      </c>
      <c r="G470">
        <v>46667.5</v>
      </c>
      <c r="H470">
        <v>323488</v>
      </c>
    </row>
    <row r="471" spans="1:8" x14ac:dyDescent="0.25">
      <c r="A471" t="s">
        <v>1163</v>
      </c>
      <c r="B471" t="s">
        <v>1589</v>
      </c>
      <c r="C471">
        <v>16</v>
      </c>
      <c r="D471">
        <v>4249908</v>
      </c>
      <c r="E471">
        <v>4.2499079999999996</v>
      </c>
      <c r="F471">
        <v>23347</v>
      </c>
      <c r="G471">
        <v>265619.3</v>
      </c>
      <c r="H471">
        <v>708456</v>
      </c>
    </row>
    <row r="472" spans="1:8" x14ac:dyDescent="0.25">
      <c r="A472" t="s">
        <v>1164</v>
      </c>
      <c r="B472" t="s">
        <v>1589</v>
      </c>
      <c r="C472">
        <v>9</v>
      </c>
      <c r="D472">
        <v>4030768</v>
      </c>
      <c r="E472">
        <v>4.0307680000000001</v>
      </c>
      <c r="F472">
        <v>201846</v>
      </c>
      <c r="G472">
        <v>447863.1</v>
      </c>
      <c r="H472">
        <v>998207</v>
      </c>
    </row>
    <row r="473" spans="1:8" x14ac:dyDescent="0.25">
      <c r="A473" t="s">
        <v>1165</v>
      </c>
      <c r="B473" t="s">
        <v>1589</v>
      </c>
      <c r="C473">
        <v>21</v>
      </c>
      <c r="D473">
        <v>4063816</v>
      </c>
      <c r="E473">
        <v>4.0638160000000001</v>
      </c>
      <c r="F473">
        <v>2375</v>
      </c>
      <c r="G473">
        <v>193515</v>
      </c>
      <c r="H473">
        <v>3855066</v>
      </c>
    </row>
    <row r="474" spans="1:8" x14ac:dyDescent="0.25">
      <c r="A474" t="s">
        <v>1166</v>
      </c>
      <c r="B474" t="s">
        <v>1589</v>
      </c>
      <c r="C474">
        <v>164</v>
      </c>
      <c r="D474">
        <v>2566035</v>
      </c>
      <c r="E474">
        <v>2.5660349999999998</v>
      </c>
      <c r="F474">
        <v>2011</v>
      </c>
      <c r="G474">
        <v>15646.6</v>
      </c>
      <c r="H474">
        <v>132822</v>
      </c>
    </row>
    <row r="475" spans="1:8" x14ac:dyDescent="0.25">
      <c r="A475" t="s">
        <v>1167</v>
      </c>
      <c r="B475" t="s">
        <v>1589</v>
      </c>
      <c r="C475">
        <v>29</v>
      </c>
      <c r="D475">
        <v>2641929</v>
      </c>
      <c r="E475">
        <v>2.6419290000000002</v>
      </c>
      <c r="F475">
        <v>2035</v>
      </c>
      <c r="G475">
        <v>91101</v>
      </c>
      <c r="H475">
        <v>334909</v>
      </c>
    </row>
    <row r="476" spans="1:8" x14ac:dyDescent="0.25">
      <c r="A476" t="s">
        <v>1168</v>
      </c>
      <c r="B476" t="s">
        <v>1589</v>
      </c>
      <c r="C476">
        <v>7</v>
      </c>
      <c r="D476">
        <v>2152927</v>
      </c>
      <c r="E476">
        <v>2.152927</v>
      </c>
      <c r="F476">
        <v>6681</v>
      </c>
      <c r="G476">
        <v>307561</v>
      </c>
      <c r="H476">
        <v>1246653</v>
      </c>
    </row>
    <row r="477" spans="1:8" x14ac:dyDescent="0.25">
      <c r="A477" t="s">
        <v>1169</v>
      </c>
      <c r="B477" t="s">
        <v>1589</v>
      </c>
      <c r="C477">
        <v>106</v>
      </c>
      <c r="D477">
        <v>2937478</v>
      </c>
      <c r="E477">
        <v>2.937478</v>
      </c>
      <c r="F477">
        <v>2014</v>
      </c>
      <c r="G477">
        <v>27712.1</v>
      </c>
      <c r="H477">
        <v>284000</v>
      </c>
    </row>
    <row r="478" spans="1:8" x14ac:dyDescent="0.25">
      <c r="A478" t="s">
        <v>1170</v>
      </c>
      <c r="B478" t="s">
        <v>1589</v>
      </c>
      <c r="C478">
        <v>13</v>
      </c>
      <c r="D478">
        <v>3167132</v>
      </c>
      <c r="E478">
        <v>3.1671320000000001</v>
      </c>
      <c r="F478">
        <v>2154</v>
      </c>
      <c r="G478">
        <v>243625.5</v>
      </c>
      <c r="H478">
        <v>1116121</v>
      </c>
    </row>
    <row r="479" spans="1:8" x14ac:dyDescent="0.25">
      <c r="A479" t="s">
        <v>1171</v>
      </c>
      <c r="B479" t="s">
        <v>1589</v>
      </c>
      <c r="C479">
        <v>45</v>
      </c>
      <c r="D479">
        <v>2913568</v>
      </c>
      <c r="E479">
        <v>2.9135680000000002</v>
      </c>
      <c r="F479">
        <v>2019</v>
      </c>
      <c r="G479">
        <v>64746</v>
      </c>
      <c r="H479">
        <v>442938</v>
      </c>
    </row>
    <row r="480" spans="1:8" x14ac:dyDescent="0.25">
      <c r="A480" t="s">
        <v>1172</v>
      </c>
      <c r="B480" t="s">
        <v>1589</v>
      </c>
      <c r="C480">
        <v>92</v>
      </c>
      <c r="D480">
        <v>3218092</v>
      </c>
      <c r="E480">
        <v>3.218092</v>
      </c>
      <c r="F480">
        <v>2014</v>
      </c>
      <c r="G480">
        <v>34979.300000000003</v>
      </c>
      <c r="H480">
        <v>304011</v>
      </c>
    </row>
    <row r="481" spans="1:8" x14ac:dyDescent="0.25">
      <c r="A481" t="s">
        <v>1173</v>
      </c>
      <c r="B481" t="s">
        <v>1589</v>
      </c>
      <c r="C481">
        <v>1</v>
      </c>
      <c r="D481">
        <v>2726218</v>
      </c>
      <c r="E481">
        <v>2.7262179999999998</v>
      </c>
      <c r="F481">
        <v>2726218</v>
      </c>
      <c r="G481">
        <v>2726218</v>
      </c>
      <c r="H481">
        <v>2726218</v>
      </c>
    </row>
    <row r="482" spans="1:8" x14ac:dyDescent="0.25">
      <c r="A482" t="s">
        <v>1174</v>
      </c>
      <c r="B482" t="s">
        <v>1589</v>
      </c>
      <c r="C482">
        <v>12</v>
      </c>
      <c r="D482">
        <v>3560924</v>
      </c>
      <c r="E482">
        <v>3.560924</v>
      </c>
      <c r="F482">
        <v>3865</v>
      </c>
      <c r="G482">
        <v>296743.7</v>
      </c>
      <c r="H482">
        <v>941365</v>
      </c>
    </row>
    <row r="483" spans="1:8" x14ac:dyDescent="0.25">
      <c r="A483" t="s">
        <v>1175</v>
      </c>
      <c r="B483" t="s">
        <v>1589</v>
      </c>
      <c r="C483">
        <v>329</v>
      </c>
      <c r="D483">
        <v>1932538</v>
      </c>
      <c r="E483">
        <v>1.9325380000000001</v>
      </c>
      <c r="F483">
        <v>2017</v>
      </c>
      <c r="G483">
        <v>5874</v>
      </c>
      <c r="H483">
        <v>23121</v>
      </c>
    </row>
    <row r="484" spans="1:8" x14ac:dyDescent="0.25">
      <c r="A484" t="s">
        <v>1176</v>
      </c>
      <c r="B484" t="s">
        <v>1589</v>
      </c>
      <c r="C484">
        <v>13</v>
      </c>
      <c r="D484">
        <v>2397096</v>
      </c>
      <c r="E484">
        <v>2.3970959999999999</v>
      </c>
      <c r="F484">
        <v>2225</v>
      </c>
      <c r="G484">
        <v>184392</v>
      </c>
      <c r="H484">
        <v>1307355</v>
      </c>
    </row>
    <row r="485" spans="1:8" x14ac:dyDescent="0.25">
      <c r="A485" t="s">
        <v>1177</v>
      </c>
      <c r="B485" t="s">
        <v>1589</v>
      </c>
      <c r="C485">
        <v>25</v>
      </c>
      <c r="D485">
        <v>2054321</v>
      </c>
      <c r="E485">
        <v>2.0543209999999998</v>
      </c>
      <c r="F485">
        <v>2053</v>
      </c>
      <c r="G485">
        <v>82172.800000000003</v>
      </c>
      <c r="H485">
        <v>771679</v>
      </c>
    </row>
    <row r="486" spans="1:8" x14ac:dyDescent="0.25">
      <c r="A486" t="s">
        <v>1178</v>
      </c>
      <c r="B486" t="s">
        <v>1589</v>
      </c>
      <c r="C486">
        <v>241</v>
      </c>
      <c r="D486">
        <v>1583031</v>
      </c>
      <c r="E486">
        <v>1.5830310000000001</v>
      </c>
      <c r="F486">
        <v>2015</v>
      </c>
      <c r="G486">
        <v>6568.6</v>
      </c>
      <c r="H486">
        <v>126425</v>
      </c>
    </row>
    <row r="487" spans="1:8" x14ac:dyDescent="0.25">
      <c r="A487" t="s">
        <v>1179</v>
      </c>
      <c r="B487" t="s">
        <v>1589</v>
      </c>
      <c r="C487">
        <v>210</v>
      </c>
      <c r="D487">
        <v>2138790</v>
      </c>
      <c r="E487">
        <v>2.1387900000000002</v>
      </c>
      <c r="F487">
        <v>2007</v>
      </c>
      <c r="G487">
        <v>10184.700000000001</v>
      </c>
      <c r="H487">
        <v>129461</v>
      </c>
    </row>
    <row r="488" spans="1:8" x14ac:dyDescent="0.25">
      <c r="A488" t="s">
        <v>1180</v>
      </c>
      <c r="B488" t="s">
        <v>1589</v>
      </c>
      <c r="C488">
        <v>57</v>
      </c>
      <c r="D488">
        <v>2210385</v>
      </c>
      <c r="E488">
        <v>2.210385</v>
      </c>
      <c r="F488">
        <v>2001</v>
      </c>
      <c r="G488">
        <v>38778.699999999997</v>
      </c>
      <c r="H488">
        <v>244742</v>
      </c>
    </row>
    <row r="489" spans="1:8" x14ac:dyDescent="0.25">
      <c r="A489" t="s">
        <v>1181</v>
      </c>
      <c r="B489" t="s">
        <v>1589</v>
      </c>
      <c r="C489">
        <v>15</v>
      </c>
      <c r="D489">
        <v>2683722</v>
      </c>
      <c r="E489">
        <v>2.6837219999999999</v>
      </c>
      <c r="F489">
        <v>8923</v>
      </c>
      <c r="G489">
        <v>178914.8</v>
      </c>
      <c r="H489">
        <v>683500</v>
      </c>
    </row>
    <row r="490" spans="1:8" x14ac:dyDescent="0.25">
      <c r="A490" t="s">
        <v>1182</v>
      </c>
      <c r="B490" t="s">
        <v>1589</v>
      </c>
      <c r="C490">
        <v>220</v>
      </c>
      <c r="D490">
        <v>1337631</v>
      </c>
      <c r="E490">
        <v>1.337631</v>
      </c>
      <c r="F490">
        <v>2532</v>
      </c>
      <c r="G490">
        <v>6080.1</v>
      </c>
      <c r="H490">
        <v>29631</v>
      </c>
    </row>
    <row r="491" spans="1:8" x14ac:dyDescent="0.25">
      <c r="A491" t="s">
        <v>1183</v>
      </c>
      <c r="B491" t="s">
        <v>1589</v>
      </c>
      <c r="C491">
        <v>38</v>
      </c>
      <c r="D491">
        <v>2340199</v>
      </c>
      <c r="E491">
        <v>2.3401990000000001</v>
      </c>
      <c r="F491">
        <v>2275</v>
      </c>
      <c r="G491">
        <v>61584.2</v>
      </c>
      <c r="H491">
        <v>272624</v>
      </c>
    </row>
    <row r="492" spans="1:8" x14ac:dyDescent="0.25">
      <c r="A492" t="s">
        <v>1184</v>
      </c>
      <c r="B492" t="s">
        <v>1589</v>
      </c>
      <c r="C492">
        <v>233</v>
      </c>
      <c r="D492">
        <v>1739327</v>
      </c>
      <c r="E492">
        <v>1.7393270000000001</v>
      </c>
      <c r="F492">
        <v>2513</v>
      </c>
      <c r="G492">
        <v>7464.9</v>
      </c>
      <c r="H492">
        <v>32459</v>
      </c>
    </row>
    <row r="493" spans="1:8" x14ac:dyDescent="0.25">
      <c r="A493" t="s">
        <v>1185</v>
      </c>
      <c r="B493" t="s">
        <v>1589</v>
      </c>
      <c r="C493">
        <v>425</v>
      </c>
      <c r="D493">
        <v>1782038</v>
      </c>
      <c r="E493">
        <v>1.782038</v>
      </c>
      <c r="F493">
        <v>2004</v>
      </c>
      <c r="G493">
        <v>4193</v>
      </c>
      <c r="H493">
        <v>16219</v>
      </c>
    </row>
    <row r="494" spans="1:8" x14ac:dyDescent="0.25">
      <c r="A494" t="s">
        <v>1186</v>
      </c>
      <c r="B494" t="s">
        <v>1589</v>
      </c>
      <c r="C494">
        <v>7</v>
      </c>
      <c r="D494">
        <v>3757198</v>
      </c>
      <c r="E494">
        <v>3.7571979999999998</v>
      </c>
      <c r="F494">
        <v>11655</v>
      </c>
      <c r="G494">
        <v>536742.6</v>
      </c>
      <c r="H494">
        <v>1507614</v>
      </c>
    </row>
    <row r="495" spans="1:8" x14ac:dyDescent="0.25">
      <c r="A495" t="s">
        <v>1187</v>
      </c>
      <c r="B495" t="s">
        <v>1589</v>
      </c>
      <c r="C495">
        <v>47</v>
      </c>
      <c r="D495">
        <v>2096733</v>
      </c>
      <c r="E495">
        <v>2.096733</v>
      </c>
      <c r="F495">
        <v>2534</v>
      </c>
      <c r="G495">
        <v>44611.3</v>
      </c>
      <c r="H495">
        <v>201592</v>
      </c>
    </row>
    <row r="496" spans="1:8" x14ac:dyDescent="0.25">
      <c r="A496" t="s">
        <v>1188</v>
      </c>
      <c r="B496" t="s">
        <v>1589</v>
      </c>
      <c r="C496">
        <v>28</v>
      </c>
      <c r="D496">
        <v>1710410</v>
      </c>
      <c r="E496">
        <v>1.71041</v>
      </c>
      <c r="F496">
        <v>2383</v>
      </c>
      <c r="G496">
        <v>61086.1</v>
      </c>
      <c r="H496">
        <v>166804</v>
      </c>
    </row>
    <row r="497" spans="1:8" x14ac:dyDescent="0.25">
      <c r="A497" t="s">
        <v>1189</v>
      </c>
      <c r="B497" t="s">
        <v>1589</v>
      </c>
      <c r="C497">
        <v>52</v>
      </c>
      <c r="D497">
        <v>2764890</v>
      </c>
      <c r="E497">
        <v>2.7648899999999998</v>
      </c>
      <c r="F497">
        <v>2716</v>
      </c>
      <c r="G497">
        <v>53171</v>
      </c>
      <c r="H497">
        <v>251923</v>
      </c>
    </row>
    <row r="498" spans="1:8" x14ac:dyDescent="0.25">
      <c r="A498" t="s">
        <v>1190</v>
      </c>
      <c r="B498" t="s">
        <v>1589</v>
      </c>
      <c r="C498">
        <v>42</v>
      </c>
      <c r="D498">
        <v>1872869</v>
      </c>
      <c r="E498">
        <v>1.8728689999999999</v>
      </c>
      <c r="F498">
        <v>3582</v>
      </c>
      <c r="G498">
        <v>44592.1</v>
      </c>
      <c r="H498">
        <v>349189</v>
      </c>
    </row>
    <row r="499" spans="1:8" x14ac:dyDescent="0.25">
      <c r="A499" t="s">
        <v>1191</v>
      </c>
      <c r="B499" t="s">
        <v>1589</v>
      </c>
      <c r="C499">
        <v>84</v>
      </c>
      <c r="D499">
        <v>1987898</v>
      </c>
      <c r="E499">
        <v>1.9878979999999999</v>
      </c>
      <c r="F499">
        <v>2062</v>
      </c>
      <c r="G499">
        <v>23665.5</v>
      </c>
      <c r="H499">
        <v>228903</v>
      </c>
    </row>
    <row r="500" spans="1:8" x14ac:dyDescent="0.25">
      <c r="A500" t="s">
        <v>1192</v>
      </c>
      <c r="B500" t="s">
        <v>1589</v>
      </c>
      <c r="C500">
        <v>11</v>
      </c>
      <c r="D500">
        <v>1665744</v>
      </c>
      <c r="E500">
        <v>1.6657439999999999</v>
      </c>
      <c r="F500">
        <v>3550</v>
      </c>
      <c r="G500">
        <v>151431.29999999999</v>
      </c>
      <c r="H500">
        <v>456600</v>
      </c>
    </row>
    <row r="501" spans="1:8" x14ac:dyDescent="0.25">
      <c r="A501" t="s">
        <v>1193</v>
      </c>
      <c r="B501" t="s">
        <v>1589</v>
      </c>
      <c r="C501">
        <v>43</v>
      </c>
      <c r="D501">
        <v>2878860</v>
      </c>
      <c r="E501">
        <v>2.87886</v>
      </c>
      <c r="F501">
        <v>2168</v>
      </c>
      <c r="G501">
        <v>66950.2</v>
      </c>
      <c r="H501">
        <v>264177</v>
      </c>
    </row>
    <row r="502" spans="1:8" x14ac:dyDescent="0.25">
      <c r="A502" t="s">
        <v>1194</v>
      </c>
      <c r="B502" t="s">
        <v>1589</v>
      </c>
      <c r="C502">
        <v>11</v>
      </c>
      <c r="D502">
        <v>2328705</v>
      </c>
      <c r="E502">
        <v>2.3287049999999998</v>
      </c>
      <c r="F502">
        <v>22290</v>
      </c>
      <c r="G502">
        <v>211700.5</v>
      </c>
      <c r="H502">
        <v>799175</v>
      </c>
    </row>
    <row r="503" spans="1:8" x14ac:dyDescent="0.25">
      <c r="A503" t="s">
        <v>1195</v>
      </c>
      <c r="B503" t="s">
        <v>1589</v>
      </c>
      <c r="C503">
        <v>244</v>
      </c>
      <c r="D503">
        <v>1587888</v>
      </c>
      <c r="E503">
        <v>1.587888</v>
      </c>
      <c r="F503">
        <v>2024</v>
      </c>
      <c r="G503">
        <v>6507.7</v>
      </c>
      <c r="H503">
        <v>88350</v>
      </c>
    </row>
    <row r="504" spans="1:8" x14ac:dyDescent="0.25">
      <c r="A504" t="s">
        <v>1196</v>
      </c>
      <c r="B504" t="s">
        <v>1589</v>
      </c>
      <c r="C504">
        <v>316</v>
      </c>
      <c r="D504">
        <v>2266159</v>
      </c>
      <c r="E504">
        <v>2.266159</v>
      </c>
      <c r="F504">
        <v>2002</v>
      </c>
      <c r="G504">
        <v>7171.4</v>
      </c>
      <c r="H504">
        <v>142611</v>
      </c>
    </row>
    <row r="505" spans="1:8" x14ac:dyDescent="0.25">
      <c r="A505" t="s">
        <v>1197</v>
      </c>
      <c r="B505" t="s">
        <v>1589</v>
      </c>
      <c r="C505">
        <v>25</v>
      </c>
      <c r="D505">
        <v>2028928</v>
      </c>
      <c r="E505">
        <v>2.0289280000000001</v>
      </c>
      <c r="F505">
        <v>6826</v>
      </c>
      <c r="G505">
        <v>81157.100000000006</v>
      </c>
      <c r="H505">
        <v>249706</v>
      </c>
    </row>
    <row r="506" spans="1:8" x14ac:dyDescent="0.25">
      <c r="A506" t="s">
        <v>1198</v>
      </c>
      <c r="B506" t="s">
        <v>1589</v>
      </c>
      <c r="C506">
        <v>482</v>
      </c>
      <c r="D506">
        <v>2943815</v>
      </c>
      <c r="E506">
        <v>2.9438149999999998</v>
      </c>
      <c r="F506">
        <v>2007</v>
      </c>
      <c r="G506">
        <v>6107.5</v>
      </c>
      <c r="H506">
        <v>38376</v>
      </c>
    </row>
    <row r="507" spans="1:8" x14ac:dyDescent="0.25">
      <c r="A507" t="s">
        <v>1199</v>
      </c>
      <c r="B507" t="s">
        <v>1589</v>
      </c>
      <c r="C507">
        <v>325</v>
      </c>
      <c r="D507">
        <v>2009265</v>
      </c>
      <c r="E507">
        <v>2.0092650000000001</v>
      </c>
      <c r="F507">
        <v>2017</v>
      </c>
      <c r="G507">
        <v>6182.4</v>
      </c>
      <c r="H507">
        <v>32958</v>
      </c>
    </row>
    <row r="508" spans="1:8" x14ac:dyDescent="0.25">
      <c r="A508" t="s">
        <v>1200</v>
      </c>
      <c r="B508" t="s">
        <v>1589</v>
      </c>
      <c r="C508">
        <v>348</v>
      </c>
      <c r="D508">
        <v>1745201</v>
      </c>
      <c r="E508">
        <v>1.745201</v>
      </c>
      <c r="F508">
        <v>2001</v>
      </c>
      <c r="G508">
        <v>5014.8999999999996</v>
      </c>
      <c r="H508">
        <v>24093</v>
      </c>
    </row>
    <row r="509" spans="1:8" x14ac:dyDescent="0.25">
      <c r="A509" t="s">
        <v>1201</v>
      </c>
      <c r="B509" t="s">
        <v>1589</v>
      </c>
      <c r="C509">
        <v>221</v>
      </c>
      <c r="D509">
        <v>2155675</v>
      </c>
      <c r="E509">
        <v>2.155675</v>
      </c>
      <c r="F509">
        <v>2003</v>
      </c>
      <c r="G509">
        <v>9754.2000000000007</v>
      </c>
      <c r="H509">
        <v>96454</v>
      </c>
    </row>
    <row r="510" spans="1:8" x14ac:dyDescent="0.25">
      <c r="A510" t="s">
        <v>1202</v>
      </c>
      <c r="B510" t="s">
        <v>1589</v>
      </c>
      <c r="C510">
        <v>148</v>
      </c>
      <c r="D510">
        <v>1265361</v>
      </c>
      <c r="E510">
        <v>1.265361</v>
      </c>
      <c r="F510">
        <v>2017</v>
      </c>
      <c r="G510">
        <v>8549.7000000000007</v>
      </c>
      <c r="H510">
        <v>71598</v>
      </c>
    </row>
    <row r="511" spans="1:8" x14ac:dyDescent="0.25">
      <c r="A511" t="s">
        <v>1203</v>
      </c>
      <c r="B511" t="s">
        <v>1589</v>
      </c>
      <c r="C511">
        <v>39</v>
      </c>
      <c r="D511">
        <v>1379265</v>
      </c>
      <c r="E511">
        <v>1.379265</v>
      </c>
      <c r="F511">
        <v>2193</v>
      </c>
      <c r="G511">
        <v>35365.800000000003</v>
      </c>
      <c r="H511">
        <v>146361</v>
      </c>
    </row>
    <row r="512" spans="1:8" x14ac:dyDescent="0.25">
      <c r="A512" t="s">
        <v>1204</v>
      </c>
      <c r="B512" t="s">
        <v>1589</v>
      </c>
      <c r="C512">
        <v>179</v>
      </c>
      <c r="D512">
        <v>2047728</v>
      </c>
      <c r="E512">
        <v>2.0477280000000002</v>
      </c>
      <c r="F512">
        <v>2004</v>
      </c>
      <c r="G512">
        <v>11439.8</v>
      </c>
      <c r="H512">
        <v>162896</v>
      </c>
    </row>
    <row r="513" spans="1:8" x14ac:dyDescent="0.25">
      <c r="A513" t="s">
        <v>1205</v>
      </c>
      <c r="B513" t="s">
        <v>1589</v>
      </c>
      <c r="C513">
        <v>319</v>
      </c>
      <c r="D513">
        <v>2319803</v>
      </c>
      <c r="E513">
        <v>2.3198029999999998</v>
      </c>
      <c r="F513">
        <v>2002</v>
      </c>
      <c r="G513">
        <v>7272.1</v>
      </c>
      <c r="H513">
        <v>83762</v>
      </c>
    </row>
    <row r="514" spans="1:8" x14ac:dyDescent="0.25">
      <c r="A514" t="s">
        <v>1206</v>
      </c>
      <c r="B514" t="s">
        <v>1589</v>
      </c>
      <c r="C514">
        <v>115</v>
      </c>
      <c r="D514">
        <v>1954955</v>
      </c>
      <c r="E514">
        <v>1.954955</v>
      </c>
      <c r="F514">
        <v>2025</v>
      </c>
      <c r="G514">
        <v>16999.599999999999</v>
      </c>
      <c r="H514">
        <v>214558</v>
      </c>
    </row>
    <row r="515" spans="1:8" x14ac:dyDescent="0.25">
      <c r="A515" t="s">
        <v>1207</v>
      </c>
      <c r="B515" t="s">
        <v>1589</v>
      </c>
      <c r="C515">
        <v>56</v>
      </c>
      <c r="D515">
        <v>1877876</v>
      </c>
      <c r="E515">
        <v>1.8778760000000001</v>
      </c>
      <c r="F515">
        <v>2066</v>
      </c>
      <c r="G515">
        <v>33533.5</v>
      </c>
      <c r="H515">
        <v>236787</v>
      </c>
    </row>
    <row r="516" spans="1:8" x14ac:dyDescent="0.25">
      <c r="A516" t="s">
        <v>1208</v>
      </c>
      <c r="B516" t="s">
        <v>1589</v>
      </c>
      <c r="C516">
        <v>246</v>
      </c>
      <c r="D516">
        <v>1599548</v>
      </c>
      <c r="E516">
        <v>1.599548</v>
      </c>
      <c r="F516">
        <v>2001</v>
      </c>
      <c r="G516">
        <v>6502.2</v>
      </c>
      <c r="H516">
        <v>113526</v>
      </c>
    </row>
    <row r="517" spans="1:8" x14ac:dyDescent="0.25">
      <c r="A517" t="s">
        <v>1209</v>
      </c>
      <c r="B517" t="s">
        <v>1589</v>
      </c>
      <c r="C517">
        <v>312</v>
      </c>
      <c r="D517">
        <v>2660898</v>
      </c>
      <c r="E517">
        <v>2.660898</v>
      </c>
      <c r="F517">
        <v>2004</v>
      </c>
      <c r="G517">
        <v>8528.5</v>
      </c>
      <c r="H517">
        <v>197390</v>
      </c>
    </row>
    <row r="518" spans="1:8" x14ac:dyDescent="0.25">
      <c r="A518" t="s">
        <v>1210</v>
      </c>
      <c r="B518" t="s">
        <v>1589</v>
      </c>
      <c r="C518">
        <v>11</v>
      </c>
      <c r="D518">
        <v>2482741</v>
      </c>
      <c r="E518">
        <v>2.4827409999999999</v>
      </c>
      <c r="F518">
        <v>2716</v>
      </c>
      <c r="G518">
        <v>225703.7</v>
      </c>
      <c r="H518">
        <v>497040</v>
      </c>
    </row>
    <row r="519" spans="1:8" x14ac:dyDescent="0.25">
      <c r="A519" t="s">
        <v>1211</v>
      </c>
      <c r="B519" t="s">
        <v>1589</v>
      </c>
      <c r="C519">
        <v>65</v>
      </c>
      <c r="D519">
        <v>2224294</v>
      </c>
      <c r="E519">
        <v>2.224294</v>
      </c>
      <c r="F519">
        <v>2006</v>
      </c>
      <c r="G519">
        <v>34219.9</v>
      </c>
      <c r="H519">
        <v>280843</v>
      </c>
    </row>
    <row r="520" spans="1:8" x14ac:dyDescent="0.25">
      <c r="A520" t="s">
        <v>1212</v>
      </c>
      <c r="B520" t="s">
        <v>1589</v>
      </c>
      <c r="C520">
        <v>66</v>
      </c>
      <c r="D520">
        <v>2304137</v>
      </c>
      <c r="E520">
        <v>2.3041369999999999</v>
      </c>
      <c r="F520">
        <v>2011</v>
      </c>
      <c r="G520">
        <v>34911.199999999997</v>
      </c>
      <c r="H520">
        <v>1610274</v>
      </c>
    </row>
    <row r="521" spans="1:8" x14ac:dyDescent="0.25">
      <c r="A521" t="s">
        <v>1213</v>
      </c>
      <c r="B521" t="s">
        <v>1589</v>
      </c>
      <c r="C521">
        <v>374</v>
      </c>
      <c r="D521">
        <v>1831050</v>
      </c>
      <c r="E521">
        <v>1.8310500000000001</v>
      </c>
      <c r="F521">
        <v>2001</v>
      </c>
      <c r="G521">
        <v>4895.8999999999996</v>
      </c>
      <c r="H521">
        <v>67837</v>
      </c>
    </row>
    <row r="522" spans="1:8" x14ac:dyDescent="0.25">
      <c r="A522" t="s">
        <v>1214</v>
      </c>
      <c r="B522" t="s">
        <v>1589</v>
      </c>
      <c r="C522">
        <v>98</v>
      </c>
      <c r="D522">
        <v>1803298</v>
      </c>
      <c r="E522">
        <v>1.8032980000000001</v>
      </c>
      <c r="F522">
        <v>2017</v>
      </c>
      <c r="G522">
        <v>18401</v>
      </c>
      <c r="H522">
        <v>185168</v>
      </c>
    </row>
    <row r="523" spans="1:8" x14ac:dyDescent="0.25">
      <c r="A523" t="s">
        <v>1215</v>
      </c>
      <c r="B523" t="s">
        <v>1589</v>
      </c>
      <c r="C523">
        <v>24</v>
      </c>
      <c r="D523">
        <v>1468928</v>
      </c>
      <c r="E523">
        <v>1.468928</v>
      </c>
      <c r="F523">
        <v>2873</v>
      </c>
      <c r="G523">
        <v>61205.3</v>
      </c>
      <c r="H523">
        <v>356077</v>
      </c>
    </row>
    <row r="524" spans="1:8" x14ac:dyDescent="0.25">
      <c r="A524" t="s">
        <v>1216</v>
      </c>
      <c r="B524" t="s">
        <v>1589</v>
      </c>
      <c r="C524">
        <v>26</v>
      </c>
      <c r="D524">
        <v>1810075</v>
      </c>
      <c r="E524">
        <v>1.8100750000000001</v>
      </c>
      <c r="F524">
        <v>13668</v>
      </c>
      <c r="G524">
        <v>69618.3</v>
      </c>
      <c r="H524">
        <v>197399</v>
      </c>
    </row>
    <row r="525" spans="1:8" x14ac:dyDescent="0.25">
      <c r="A525" t="s">
        <v>1217</v>
      </c>
      <c r="B525" t="s">
        <v>1589</v>
      </c>
      <c r="C525">
        <v>67</v>
      </c>
      <c r="D525">
        <v>2067469</v>
      </c>
      <c r="E525">
        <v>2.067469</v>
      </c>
      <c r="F525">
        <v>2056</v>
      </c>
      <c r="G525">
        <v>30857.7</v>
      </c>
      <c r="H525">
        <v>256543</v>
      </c>
    </row>
    <row r="526" spans="1:8" x14ac:dyDescent="0.25">
      <c r="A526" t="s">
        <v>1218</v>
      </c>
      <c r="B526" t="s">
        <v>1589</v>
      </c>
      <c r="C526">
        <v>9</v>
      </c>
      <c r="D526">
        <v>2011320</v>
      </c>
      <c r="E526">
        <v>2.01132</v>
      </c>
      <c r="F526">
        <v>4809</v>
      </c>
      <c r="G526">
        <v>223480</v>
      </c>
      <c r="H526">
        <v>847574</v>
      </c>
    </row>
    <row r="527" spans="1:8" x14ac:dyDescent="0.25">
      <c r="A527" t="s">
        <v>1219</v>
      </c>
      <c r="B527" t="s">
        <v>1589</v>
      </c>
      <c r="C527">
        <v>35</v>
      </c>
      <c r="D527">
        <v>1870643</v>
      </c>
      <c r="E527">
        <v>1.8706430000000001</v>
      </c>
      <c r="F527">
        <v>6876</v>
      </c>
      <c r="G527">
        <v>53446.9</v>
      </c>
      <c r="H527">
        <v>200869</v>
      </c>
    </row>
    <row r="528" spans="1:8" x14ac:dyDescent="0.25">
      <c r="A528" t="s">
        <v>1220</v>
      </c>
      <c r="B528" t="s">
        <v>1589</v>
      </c>
      <c r="C528">
        <v>17</v>
      </c>
      <c r="D528">
        <v>3245363</v>
      </c>
      <c r="E528">
        <v>3.2453630000000002</v>
      </c>
      <c r="F528">
        <v>3455</v>
      </c>
      <c r="G528">
        <v>190903.7</v>
      </c>
      <c r="H528">
        <v>620778</v>
      </c>
    </row>
    <row r="529" spans="1:8" x14ac:dyDescent="0.25">
      <c r="A529" t="s">
        <v>1221</v>
      </c>
      <c r="B529" t="s">
        <v>1589</v>
      </c>
      <c r="C529">
        <v>37</v>
      </c>
      <c r="D529">
        <v>2204207</v>
      </c>
      <c r="E529">
        <v>2.2042069999999998</v>
      </c>
      <c r="F529">
        <v>3611</v>
      </c>
      <c r="G529">
        <v>59573.2</v>
      </c>
      <c r="H529">
        <v>392363</v>
      </c>
    </row>
    <row r="530" spans="1:8" x14ac:dyDescent="0.25">
      <c r="A530" t="s">
        <v>1222</v>
      </c>
      <c r="B530" t="s">
        <v>1589</v>
      </c>
      <c r="C530">
        <v>26</v>
      </c>
      <c r="D530">
        <v>1219594</v>
      </c>
      <c r="E530">
        <v>1.2195940000000001</v>
      </c>
      <c r="F530">
        <v>3775</v>
      </c>
      <c r="G530">
        <v>46907.5</v>
      </c>
      <c r="H530">
        <v>370736</v>
      </c>
    </row>
    <row r="531" spans="1:8" x14ac:dyDescent="0.25">
      <c r="A531" t="s">
        <v>1223</v>
      </c>
      <c r="B531" t="s">
        <v>1589</v>
      </c>
      <c r="C531">
        <v>119</v>
      </c>
      <c r="D531">
        <v>2833189</v>
      </c>
      <c r="E531">
        <v>2.833189</v>
      </c>
      <c r="F531">
        <v>2003</v>
      </c>
      <c r="G531">
        <v>23808.3</v>
      </c>
      <c r="H531">
        <v>292231</v>
      </c>
    </row>
    <row r="532" spans="1:8" x14ac:dyDescent="0.25">
      <c r="A532" t="s">
        <v>406</v>
      </c>
      <c r="B532" t="s">
        <v>1590</v>
      </c>
      <c r="C532">
        <v>31</v>
      </c>
      <c r="D532">
        <v>2082843</v>
      </c>
      <c r="E532">
        <v>2.082843</v>
      </c>
      <c r="F532">
        <v>6852</v>
      </c>
      <c r="G532">
        <v>67188.5</v>
      </c>
      <c r="H532">
        <v>301446</v>
      </c>
    </row>
    <row r="533" spans="1:8" x14ac:dyDescent="0.25">
      <c r="A533" t="s">
        <v>810</v>
      </c>
      <c r="B533" t="s">
        <v>1590</v>
      </c>
      <c r="C533">
        <v>303</v>
      </c>
      <c r="D533">
        <v>2068327</v>
      </c>
      <c r="E533">
        <v>2.068327</v>
      </c>
      <c r="F533">
        <v>2002</v>
      </c>
      <c r="G533">
        <v>6826.2</v>
      </c>
      <c r="H533">
        <v>86981</v>
      </c>
    </row>
    <row r="534" spans="1:8" x14ac:dyDescent="0.25">
      <c r="A534" t="s">
        <v>811</v>
      </c>
      <c r="B534" t="s">
        <v>1590</v>
      </c>
      <c r="C534">
        <v>363</v>
      </c>
      <c r="D534">
        <v>2478017</v>
      </c>
      <c r="E534">
        <v>2.4780169999999999</v>
      </c>
      <c r="F534">
        <v>2058</v>
      </c>
      <c r="G534">
        <v>6826.5</v>
      </c>
      <c r="H534">
        <v>39483</v>
      </c>
    </row>
    <row r="535" spans="1:8" x14ac:dyDescent="0.25">
      <c r="A535" t="s">
        <v>812</v>
      </c>
      <c r="B535" t="s">
        <v>1590</v>
      </c>
      <c r="C535">
        <v>252</v>
      </c>
      <c r="D535">
        <v>834716</v>
      </c>
      <c r="E535">
        <v>0.83471600000000001</v>
      </c>
      <c r="F535">
        <v>2003</v>
      </c>
      <c r="G535">
        <v>3312.4</v>
      </c>
      <c r="H535">
        <v>21199</v>
      </c>
    </row>
    <row r="536" spans="1:8" x14ac:dyDescent="0.25">
      <c r="A536" t="s">
        <v>813</v>
      </c>
      <c r="B536" t="s">
        <v>1590</v>
      </c>
      <c r="C536">
        <v>265</v>
      </c>
      <c r="D536">
        <v>1111926</v>
      </c>
      <c r="E536">
        <v>1.111926</v>
      </c>
      <c r="F536">
        <v>2002</v>
      </c>
      <c r="G536">
        <v>4195.8999999999996</v>
      </c>
      <c r="H536">
        <v>20974</v>
      </c>
    </row>
    <row r="537" spans="1:8" x14ac:dyDescent="0.25">
      <c r="A537" t="s">
        <v>814</v>
      </c>
      <c r="B537" t="s">
        <v>1590</v>
      </c>
      <c r="C537">
        <v>406</v>
      </c>
      <c r="D537">
        <v>1424896</v>
      </c>
      <c r="E537">
        <v>1.4248959999999999</v>
      </c>
      <c r="F537">
        <v>2001</v>
      </c>
      <c r="G537">
        <v>3509.6</v>
      </c>
      <c r="H537">
        <v>41498</v>
      </c>
    </row>
    <row r="538" spans="1:8" x14ac:dyDescent="0.25">
      <c r="A538" t="s">
        <v>815</v>
      </c>
      <c r="B538" t="s">
        <v>1590</v>
      </c>
      <c r="C538">
        <v>291</v>
      </c>
      <c r="D538">
        <v>2505882</v>
      </c>
      <c r="E538">
        <v>2.5058820000000002</v>
      </c>
      <c r="F538">
        <v>2005</v>
      </c>
      <c r="G538">
        <v>8611.2999999999993</v>
      </c>
      <c r="H538">
        <v>126920</v>
      </c>
    </row>
    <row r="539" spans="1:8" x14ac:dyDescent="0.25">
      <c r="A539" t="s">
        <v>1224</v>
      </c>
      <c r="B539" t="s">
        <v>1590</v>
      </c>
      <c r="C539">
        <v>321</v>
      </c>
      <c r="D539">
        <v>1065477</v>
      </c>
      <c r="E539">
        <v>1.065477</v>
      </c>
      <c r="F539">
        <v>2000</v>
      </c>
      <c r="G539">
        <v>3319.2</v>
      </c>
      <c r="H539">
        <v>10137</v>
      </c>
    </row>
    <row r="540" spans="1:8" x14ac:dyDescent="0.25">
      <c r="A540" t="s">
        <v>1225</v>
      </c>
      <c r="B540" t="s">
        <v>1590</v>
      </c>
      <c r="C540">
        <v>15</v>
      </c>
      <c r="D540">
        <v>1360861</v>
      </c>
      <c r="E540">
        <v>1.3608610000000001</v>
      </c>
      <c r="F540">
        <v>2248</v>
      </c>
      <c r="G540">
        <v>90724.1</v>
      </c>
      <c r="H540">
        <v>503010</v>
      </c>
    </row>
    <row r="541" spans="1:8" x14ac:dyDescent="0.25">
      <c r="A541" t="s">
        <v>46</v>
      </c>
      <c r="B541" t="s">
        <v>1591</v>
      </c>
      <c r="C541">
        <v>431</v>
      </c>
      <c r="D541">
        <v>1799772</v>
      </c>
      <c r="E541">
        <v>1.7997719999999999</v>
      </c>
      <c r="F541">
        <v>2001</v>
      </c>
      <c r="G541">
        <v>4175.8</v>
      </c>
      <c r="H541">
        <v>13913</v>
      </c>
    </row>
    <row r="542" spans="1:8" x14ac:dyDescent="0.25">
      <c r="A542" t="s">
        <v>47</v>
      </c>
      <c r="B542" t="s">
        <v>1591</v>
      </c>
      <c r="C542">
        <v>19</v>
      </c>
      <c r="D542">
        <v>1784821</v>
      </c>
      <c r="E542">
        <v>1.784821</v>
      </c>
      <c r="F542">
        <v>3641</v>
      </c>
      <c r="G542">
        <v>93937.9</v>
      </c>
      <c r="H542">
        <v>327883</v>
      </c>
    </row>
    <row r="543" spans="1:8" x14ac:dyDescent="0.25">
      <c r="A543" t="s">
        <v>48</v>
      </c>
      <c r="B543" t="s">
        <v>1591</v>
      </c>
      <c r="C543">
        <v>5</v>
      </c>
      <c r="D543">
        <v>2817948</v>
      </c>
      <c r="E543">
        <v>2.8179479999999999</v>
      </c>
      <c r="F543">
        <v>135666</v>
      </c>
      <c r="G543">
        <v>563589.6</v>
      </c>
      <c r="H543">
        <v>802353</v>
      </c>
    </row>
    <row r="544" spans="1:8" x14ac:dyDescent="0.25">
      <c r="A544" t="s">
        <v>431</v>
      </c>
      <c r="B544" t="s">
        <v>1591</v>
      </c>
      <c r="C544">
        <v>52</v>
      </c>
      <c r="D544">
        <v>2277085</v>
      </c>
      <c r="E544">
        <v>2.277085</v>
      </c>
      <c r="F544">
        <v>2086</v>
      </c>
      <c r="G544">
        <v>43790.1</v>
      </c>
      <c r="H544">
        <v>395839</v>
      </c>
    </row>
    <row r="545" spans="1:8" x14ac:dyDescent="0.25">
      <c r="A545" t="s">
        <v>432</v>
      </c>
      <c r="B545" t="s">
        <v>1591</v>
      </c>
      <c r="C545">
        <v>43</v>
      </c>
      <c r="D545">
        <v>1995199</v>
      </c>
      <c r="E545">
        <v>1.9951989999999999</v>
      </c>
      <c r="F545">
        <v>2085</v>
      </c>
      <c r="G545">
        <v>46400</v>
      </c>
      <c r="H545">
        <v>428209</v>
      </c>
    </row>
    <row r="546" spans="1:8" x14ac:dyDescent="0.25">
      <c r="A546" t="s">
        <v>816</v>
      </c>
      <c r="B546" t="s">
        <v>1591</v>
      </c>
      <c r="C546">
        <v>68</v>
      </c>
      <c r="D546">
        <v>1587347</v>
      </c>
      <c r="E546">
        <v>1.5873470000000001</v>
      </c>
      <c r="F546">
        <v>2022</v>
      </c>
      <c r="G546">
        <v>23343.3</v>
      </c>
      <c r="H546">
        <v>258786</v>
      </c>
    </row>
    <row r="547" spans="1:8" x14ac:dyDescent="0.25">
      <c r="A547" t="s">
        <v>817</v>
      </c>
      <c r="B547" t="s">
        <v>1591</v>
      </c>
      <c r="C547">
        <v>48</v>
      </c>
      <c r="D547">
        <v>2650618</v>
      </c>
      <c r="E547">
        <v>2.6506180000000001</v>
      </c>
      <c r="F547">
        <v>6203</v>
      </c>
      <c r="G547">
        <v>55221.2</v>
      </c>
      <c r="H547">
        <v>253196</v>
      </c>
    </row>
    <row r="548" spans="1:8" x14ac:dyDescent="0.25">
      <c r="A548" t="s">
        <v>1246</v>
      </c>
      <c r="B548" t="s">
        <v>1591</v>
      </c>
      <c r="C548">
        <v>7</v>
      </c>
      <c r="D548">
        <v>2452512</v>
      </c>
      <c r="E548">
        <v>2.452512</v>
      </c>
      <c r="F548">
        <v>2492</v>
      </c>
      <c r="G548">
        <v>350358.9</v>
      </c>
      <c r="H548">
        <v>1576485</v>
      </c>
    </row>
    <row r="549" spans="1:8" x14ac:dyDescent="0.25">
      <c r="A549" t="s">
        <v>1247</v>
      </c>
      <c r="B549" t="s">
        <v>1591</v>
      </c>
      <c r="C549">
        <v>108</v>
      </c>
      <c r="D549">
        <v>1733233</v>
      </c>
      <c r="E549">
        <v>1.733233</v>
      </c>
      <c r="F549">
        <v>2018</v>
      </c>
      <c r="G549">
        <v>16048.5</v>
      </c>
      <c r="H549">
        <v>134330</v>
      </c>
    </row>
    <row r="550" spans="1:8" x14ac:dyDescent="0.25">
      <c r="A550" t="s">
        <v>1248</v>
      </c>
      <c r="B550" t="s">
        <v>1591</v>
      </c>
      <c r="C550">
        <v>158</v>
      </c>
      <c r="D550">
        <v>1458599</v>
      </c>
      <c r="E550">
        <v>1.458599</v>
      </c>
      <c r="F550">
        <v>2002</v>
      </c>
      <c r="G550">
        <v>9231.6</v>
      </c>
      <c r="H550">
        <v>100216</v>
      </c>
    </row>
    <row r="551" spans="1:8" x14ac:dyDescent="0.25">
      <c r="A551" t="s">
        <v>818</v>
      </c>
      <c r="B551" t="s">
        <v>1592</v>
      </c>
      <c r="C551">
        <v>174</v>
      </c>
      <c r="D551">
        <v>1067476</v>
      </c>
      <c r="E551">
        <v>1.0674760000000001</v>
      </c>
      <c r="F551">
        <v>2505</v>
      </c>
      <c r="G551">
        <v>6134.9</v>
      </c>
      <c r="H551">
        <v>67575</v>
      </c>
    </row>
    <row r="552" spans="1:8" x14ac:dyDescent="0.25">
      <c r="A552" t="s">
        <v>1249</v>
      </c>
      <c r="B552" t="s">
        <v>1592</v>
      </c>
      <c r="C552">
        <v>199</v>
      </c>
      <c r="D552">
        <v>2263184</v>
      </c>
      <c r="E552">
        <v>2.2631839999999999</v>
      </c>
      <c r="F552">
        <v>2525</v>
      </c>
      <c r="G552">
        <v>11372.8</v>
      </c>
      <c r="H552">
        <v>95457</v>
      </c>
    </row>
    <row r="553" spans="1:8" x14ac:dyDescent="0.25">
      <c r="A553" t="s">
        <v>49</v>
      </c>
      <c r="B553" t="s">
        <v>1593</v>
      </c>
      <c r="C553">
        <v>331</v>
      </c>
      <c r="D553">
        <v>2117840</v>
      </c>
      <c r="E553">
        <v>2.1178400000000002</v>
      </c>
      <c r="F553">
        <v>2503</v>
      </c>
      <c r="G553">
        <v>6398.3</v>
      </c>
      <c r="H553">
        <v>30216</v>
      </c>
    </row>
    <row r="554" spans="1:8" x14ac:dyDescent="0.25">
      <c r="A554" t="s">
        <v>50</v>
      </c>
      <c r="B554" t="s">
        <v>1593</v>
      </c>
      <c r="C554">
        <v>12</v>
      </c>
      <c r="D554">
        <v>1840800</v>
      </c>
      <c r="E554">
        <v>1.8408</v>
      </c>
      <c r="F554">
        <v>40276</v>
      </c>
      <c r="G554">
        <v>153400</v>
      </c>
      <c r="H554">
        <v>303727</v>
      </c>
    </row>
    <row r="555" spans="1:8" x14ac:dyDescent="0.25">
      <c r="A555" t="s">
        <v>51</v>
      </c>
      <c r="B555" t="s">
        <v>1593</v>
      </c>
      <c r="C555">
        <v>4</v>
      </c>
      <c r="D555">
        <v>1354701</v>
      </c>
      <c r="E555">
        <v>1.3547009999999999</v>
      </c>
      <c r="F555">
        <v>195649</v>
      </c>
      <c r="G555">
        <v>338675.3</v>
      </c>
      <c r="H555">
        <v>528674</v>
      </c>
    </row>
    <row r="556" spans="1:8" x14ac:dyDescent="0.25">
      <c r="A556" t="s">
        <v>52</v>
      </c>
      <c r="B556" t="s">
        <v>1593</v>
      </c>
      <c r="C556">
        <v>4</v>
      </c>
      <c r="D556">
        <v>1712576</v>
      </c>
      <c r="E556">
        <v>1.7125760000000001</v>
      </c>
      <c r="F556">
        <v>2586</v>
      </c>
      <c r="G556">
        <v>428144</v>
      </c>
      <c r="H556">
        <v>1689340</v>
      </c>
    </row>
    <row r="557" spans="1:8" x14ac:dyDescent="0.25">
      <c r="A557" t="s">
        <v>433</v>
      </c>
      <c r="B557" t="s">
        <v>1593</v>
      </c>
      <c r="C557">
        <v>8</v>
      </c>
      <c r="D557">
        <v>811076</v>
      </c>
      <c r="E557">
        <v>0.81107600000000002</v>
      </c>
      <c r="F557">
        <v>13632</v>
      </c>
      <c r="G557">
        <v>101384.5</v>
      </c>
      <c r="H557">
        <v>425322</v>
      </c>
    </row>
    <row r="558" spans="1:8" x14ac:dyDescent="0.25">
      <c r="A558" t="s">
        <v>434</v>
      </c>
      <c r="B558" t="s">
        <v>1593</v>
      </c>
      <c r="C558">
        <v>25</v>
      </c>
      <c r="D558">
        <v>1121993</v>
      </c>
      <c r="E558">
        <v>1.121993</v>
      </c>
      <c r="F558">
        <v>2766</v>
      </c>
      <c r="G558">
        <v>44879.7</v>
      </c>
      <c r="H558">
        <v>109831</v>
      </c>
    </row>
    <row r="559" spans="1:8" x14ac:dyDescent="0.25">
      <c r="A559" t="s">
        <v>435</v>
      </c>
      <c r="B559" t="s">
        <v>1593</v>
      </c>
      <c r="C559">
        <v>17</v>
      </c>
      <c r="D559">
        <v>1455232</v>
      </c>
      <c r="E559">
        <v>1.4552320000000001</v>
      </c>
      <c r="F559">
        <v>7600</v>
      </c>
      <c r="G559">
        <v>85601.9</v>
      </c>
      <c r="H559">
        <v>363729</v>
      </c>
    </row>
    <row r="560" spans="1:8" x14ac:dyDescent="0.25">
      <c r="A560" t="s">
        <v>436</v>
      </c>
      <c r="B560" t="s">
        <v>1593</v>
      </c>
      <c r="C560">
        <v>43</v>
      </c>
      <c r="D560">
        <v>1579896</v>
      </c>
      <c r="E560">
        <v>1.579896</v>
      </c>
      <c r="F560">
        <v>2143</v>
      </c>
      <c r="G560">
        <v>36741.800000000003</v>
      </c>
      <c r="H560">
        <v>776790</v>
      </c>
    </row>
    <row r="561" spans="1:8" x14ac:dyDescent="0.25">
      <c r="A561" t="s">
        <v>437</v>
      </c>
      <c r="B561" t="s">
        <v>1593</v>
      </c>
      <c r="C561">
        <v>22</v>
      </c>
      <c r="D561">
        <v>1753725</v>
      </c>
      <c r="E561">
        <v>1.753725</v>
      </c>
      <c r="F561">
        <v>8899</v>
      </c>
      <c r="G561">
        <v>79714.8</v>
      </c>
      <c r="H561">
        <v>698159</v>
      </c>
    </row>
    <row r="562" spans="1:8" x14ac:dyDescent="0.25">
      <c r="A562" t="s">
        <v>438</v>
      </c>
      <c r="B562" t="s">
        <v>1593</v>
      </c>
      <c r="C562">
        <v>5</v>
      </c>
      <c r="D562">
        <v>1358066</v>
      </c>
      <c r="E562">
        <v>1.358066</v>
      </c>
      <c r="F562">
        <v>2752</v>
      </c>
      <c r="G562">
        <v>271613.2</v>
      </c>
      <c r="H562">
        <v>608184</v>
      </c>
    </row>
    <row r="563" spans="1:8" x14ac:dyDescent="0.25">
      <c r="A563" t="s">
        <v>439</v>
      </c>
      <c r="B563" t="s">
        <v>1593</v>
      </c>
      <c r="C563">
        <v>23</v>
      </c>
      <c r="D563">
        <v>1535081</v>
      </c>
      <c r="E563">
        <v>1.5350809999999999</v>
      </c>
      <c r="F563">
        <v>5614</v>
      </c>
      <c r="G563">
        <v>66742.7</v>
      </c>
      <c r="H563">
        <v>209808</v>
      </c>
    </row>
    <row r="564" spans="1:8" x14ac:dyDescent="0.25">
      <c r="A564" t="s">
        <v>440</v>
      </c>
      <c r="B564" t="s">
        <v>1593</v>
      </c>
      <c r="C564">
        <v>134</v>
      </c>
      <c r="D564">
        <v>1642456</v>
      </c>
      <c r="E564">
        <v>1.6424559999999999</v>
      </c>
      <c r="F564">
        <v>2500</v>
      </c>
      <c r="G564">
        <v>12257.1</v>
      </c>
      <c r="H564">
        <v>103079</v>
      </c>
    </row>
    <row r="565" spans="1:8" x14ac:dyDescent="0.25">
      <c r="A565" t="s">
        <v>441</v>
      </c>
      <c r="B565" t="s">
        <v>1593</v>
      </c>
      <c r="C565">
        <v>6</v>
      </c>
      <c r="D565">
        <v>1773892</v>
      </c>
      <c r="E565">
        <v>1.773892</v>
      </c>
      <c r="F565">
        <v>13449</v>
      </c>
      <c r="G565">
        <v>295648.7</v>
      </c>
      <c r="H565">
        <v>1035821</v>
      </c>
    </row>
    <row r="566" spans="1:8" x14ac:dyDescent="0.25">
      <c r="A566" t="s">
        <v>442</v>
      </c>
      <c r="B566" t="s">
        <v>1593</v>
      </c>
      <c r="C566">
        <v>88</v>
      </c>
      <c r="D566">
        <v>1766398</v>
      </c>
      <c r="E566">
        <v>1.7663979999999999</v>
      </c>
      <c r="F566">
        <v>2011</v>
      </c>
      <c r="G566">
        <v>20072.7</v>
      </c>
      <c r="H566">
        <v>209550</v>
      </c>
    </row>
    <row r="567" spans="1:8" x14ac:dyDescent="0.25">
      <c r="A567" t="s">
        <v>443</v>
      </c>
      <c r="B567" t="s">
        <v>1593</v>
      </c>
      <c r="C567">
        <v>37</v>
      </c>
      <c r="D567">
        <v>826474</v>
      </c>
      <c r="E567">
        <v>0.82647400000000004</v>
      </c>
      <c r="F567">
        <v>2103</v>
      </c>
      <c r="G567">
        <v>22337.1</v>
      </c>
      <c r="H567">
        <v>81471</v>
      </c>
    </row>
    <row r="568" spans="1:8" x14ac:dyDescent="0.25">
      <c r="A568" t="s">
        <v>444</v>
      </c>
      <c r="B568" t="s">
        <v>1593</v>
      </c>
      <c r="C568">
        <v>57</v>
      </c>
      <c r="D568">
        <v>2124218</v>
      </c>
      <c r="E568">
        <v>2.1242179999999999</v>
      </c>
      <c r="F568">
        <v>2013</v>
      </c>
      <c r="G568">
        <v>37267</v>
      </c>
      <c r="H568">
        <v>387239</v>
      </c>
    </row>
    <row r="569" spans="1:8" x14ac:dyDescent="0.25">
      <c r="A569" t="s">
        <v>445</v>
      </c>
      <c r="B569" t="s">
        <v>1593</v>
      </c>
      <c r="C569">
        <v>1</v>
      </c>
      <c r="D569">
        <v>1728552</v>
      </c>
      <c r="E569">
        <v>1.7285520000000001</v>
      </c>
      <c r="F569">
        <v>1728552</v>
      </c>
      <c r="G569">
        <v>1728552</v>
      </c>
      <c r="H569">
        <v>1728552</v>
      </c>
    </row>
    <row r="570" spans="1:8" x14ac:dyDescent="0.25">
      <c r="A570" t="s">
        <v>446</v>
      </c>
      <c r="B570" t="s">
        <v>1593</v>
      </c>
      <c r="C570">
        <v>14</v>
      </c>
      <c r="D570">
        <v>1538667</v>
      </c>
      <c r="E570">
        <v>1.538667</v>
      </c>
      <c r="F570">
        <v>17697</v>
      </c>
      <c r="G570">
        <v>109904.8</v>
      </c>
      <c r="H570">
        <v>296863</v>
      </c>
    </row>
    <row r="571" spans="1:8" x14ac:dyDescent="0.25">
      <c r="A571" t="s">
        <v>447</v>
      </c>
      <c r="B571" t="s">
        <v>1593</v>
      </c>
      <c r="C571">
        <v>27</v>
      </c>
      <c r="D571">
        <v>1346762</v>
      </c>
      <c r="E571">
        <v>1.346762</v>
      </c>
      <c r="F571">
        <v>8932</v>
      </c>
      <c r="G571">
        <v>49880.1</v>
      </c>
      <c r="H571">
        <v>111170</v>
      </c>
    </row>
    <row r="572" spans="1:8" x14ac:dyDescent="0.25">
      <c r="A572" t="s">
        <v>448</v>
      </c>
      <c r="B572" t="s">
        <v>1593</v>
      </c>
      <c r="C572">
        <v>17</v>
      </c>
      <c r="D572">
        <v>768621</v>
      </c>
      <c r="E572">
        <v>0.768621</v>
      </c>
      <c r="F572">
        <v>13726</v>
      </c>
      <c r="G572">
        <v>45213</v>
      </c>
      <c r="H572">
        <v>135981</v>
      </c>
    </row>
    <row r="573" spans="1:8" x14ac:dyDescent="0.25">
      <c r="A573" t="s">
        <v>449</v>
      </c>
      <c r="B573" t="s">
        <v>1593</v>
      </c>
      <c r="C573">
        <v>17</v>
      </c>
      <c r="D573">
        <v>772906</v>
      </c>
      <c r="E573">
        <v>0.77290599999999998</v>
      </c>
      <c r="F573">
        <v>4710</v>
      </c>
      <c r="G573">
        <v>45465.1</v>
      </c>
      <c r="H573">
        <v>92772</v>
      </c>
    </row>
    <row r="574" spans="1:8" x14ac:dyDescent="0.25">
      <c r="A574" t="s">
        <v>450</v>
      </c>
      <c r="B574" t="s">
        <v>1593</v>
      </c>
      <c r="C574">
        <v>16</v>
      </c>
      <c r="D574">
        <v>749057</v>
      </c>
      <c r="E574">
        <v>0.74905699999999997</v>
      </c>
      <c r="F574">
        <v>17390</v>
      </c>
      <c r="G574">
        <v>46816.1</v>
      </c>
      <c r="H574">
        <v>131850</v>
      </c>
    </row>
    <row r="575" spans="1:8" x14ac:dyDescent="0.25">
      <c r="A575" t="s">
        <v>451</v>
      </c>
      <c r="B575" t="s">
        <v>1593</v>
      </c>
      <c r="C575">
        <v>11</v>
      </c>
      <c r="D575">
        <v>941501</v>
      </c>
      <c r="E575">
        <v>0.94150100000000003</v>
      </c>
      <c r="F575">
        <v>27044</v>
      </c>
      <c r="G575">
        <v>85591</v>
      </c>
      <c r="H575">
        <v>220686</v>
      </c>
    </row>
    <row r="576" spans="1:8" x14ac:dyDescent="0.25">
      <c r="A576" t="s">
        <v>452</v>
      </c>
      <c r="B576" t="s">
        <v>1593</v>
      </c>
      <c r="C576">
        <v>6</v>
      </c>
      <c r="D576">
        <v>986040</v>
      </c>
      <c r="E576">
        <v>0.98604000000000003</v>
      </c>
      <c r="F576">
        <v>18208</v>
      </c>
      <c r="G576">
        <v>164340</v>
      </c>
      <c r="H576">
        <v>668982</v>
      </c>
    </row>
    <row r="577" spans="1:8" x14ac:dyDescent="0.25">
      <c r="A577" t="s">
        <v>453</v>
      </c>
      <c r="B577" t="s">
        <v>1593</v>
      </c>
      <c r="C577">
        <v>16</v>
      </c>
      <c r="D577">
        <v>1590651</v>
      </c>
      <c r="E577">
        <v>1.590651</v>
      </c>
      <c r="F577">
        <v>6945</v>
      </c>
      <c r="G577">
        <v>99415.7</v>
      </c>
      <c r="H577">
        <v>260335</v>
      </c>
    </row>
    <row r="578" spans="1:8" x14ac:dyDescent="0.25">
      <c r="A578" t="s">
        <v>454</v>
      </c>
      <c r="B578" t="s">
        <v>1593</v>
      </c>
      <c r="C578">
        <v>15</v>
      </c>
      <c r="D578">
        <v>1203701</v>
      </c>
      <c r="E578">
        <v>1.2037009999999999</v>
      </c>
      <c r="F578">
        <v>11702</v>
      </c>
      <c r="G578">
        <v>80246.7</v>
      </c>
      <c r="H578">
        <v>201832</v>
      </c>
    </row>
    <row r="579" spans="1:8" x14ac:dyDescent="0.25">
      <c r="A579" t="s">
        <v>455</v>
      </c>
      <c r="B579" t="s">
        <v>1593</v>
      </c>
      <c r="C579">
        <v>41</v>
      </c>
      <c r="D579">
        <v>1066358</v>
      </c>
      <c r="E579">
        <v>1.0663579999999999</v>
      </c>
      <c r="F579">
        <v>3786</v>
      </c>
      <c r="G579">
        <v>26008.7</v>
      </c>
      <c r="H579">
        <v>67788</v>
      </c>
    </row>
    <row r="580" spans="1:8" x14ac:dyDescent="0.25">
      <c r="A580" t="s">
        <v>456</v>
      </c>
      <c r="B580" t="s">
        <v>1593</v>
      </c>
      <c r="C580">
        <v>1</v>
      </c>
      <c r="D580">
        <v>954312</v>
      </c>
      <c r="E580">
        <v>0.95431200000000005</v>
      </c>
      <c r="F580">
        <v>954312</v>
      </c>
      <c r="G580">
        <v>954312</v>
      </c>
      <c r="H580">
        <v>954312</v>
      </c>
    </row>
    <row r="581" spans="1:8" x14ac:dyDescent="0.25">
      <c r="A581" t="s">
        <v>457</v>
      </c>
      <c r="B581" t="s">
        <v>1593</v>
      </c>
      <c r="C581">
        <v>18</v>
      </c>
      <c r="D581">
        <v>609492</v>
      </c>
      <c r="E581">
        <v>0.60949200000000003</v>
      </c>
      <c r="F581">
        <v>7128</v>
      </c>
      <c r="G581">
        <v>33860.699999999997</v>
      </c>
      <c r="H581">
        <v>96917</v>
      </c>
    </row>
    <row r="582" spans="1:8" x14ac:dyDescent="0.25">
      <c r="A582" t="s">
        <v>458</v>
      </c>
      <c r="B582" t="s">
        <v>1593</v>
      </c>
      <c r="C582">
        <v>22</v>
      </c>
      <c r="D582">
        <v>1225781</v>
      </c>
      <c r="E582">
        <v>1.225781</v>
      </c>
      <c r="F582">
        <v>12718</v>
      </c>
      <c r="G582">
        <v>55717.3</v>
      </c>
      <c r="H582">
        <v>126379</v>
      </c>
    </row>
    <row r="583" spans="1:8" x14ac:dyDescent="0.25">
      <c r="A583" t="s">
        <v>459</v>
      </c>
      <c r="B583" t="s">
        <v>1593</v>
      </c>
      <c r="C583">
        <v>6</v>
      </c>
      <c r="D583">
        <v>1372794</v>
      </c>
      <c r="E583">
        <v>1.3727940000000001</v>
      </c>
      <c r="F583">
        <v>8285</v>
      </c>
      <c r="G583">
        <v>228799</v>
      </c>
      <c r="H583">
        <v>612370</v>
      </c>
    </row>
    <row r="584" spans="1:8" x14ac:dyDescent="0.25">
      <c r="A584" t="s">
        <v>460</v>
      </c>
      <c r="B584" t="s">
        <v>1593</v>
      </c>
      <c r="C584">
        <v>176</v>
      </c>
      <c r="D584">
        <v>977356</v>
      </c>
      <c r="E584">
        <v>0.977356</v>
      </c>
      <c r="F584">
        <v>2021</v>
      </c>
      <c r="G584">
        <v>5553.2</v>
      </c>
      <c r="H584">
        <v>31101</v>
      </c>
    </row>
    <row r="585" spans="1:8" x14ac:dyDescent="0.25">
      <c r="A585" t="s">
        <v>819</v>
      </c>
      <c r="B585" t="s">
        <v>1593</v>
      </c>
      <c r="C585">
        <v>28</v>
      </c>
      <c r="D585">
        <v>1430360</v>
      </c>
      <c r="E585">
        <v>1.4303600000000001</v>
      </c>
      <c r="F585">
        <v>12560</v>
      </c>
      <c r="G585">
        <v>51084.3</v>
      </c>
      <c r="H585">
        <v>170797</v>
      </c>
    </row>
    <row r="586" spans="1:8" x14ac:dyDescent="0.25">
      <c r="A586" t="s">
        <v>820</v>
      </c>
      <c r="B586" t="s">
        <v>1593</v>
      </c>
      <c r="C586">
        <v>27</v>
      </c>
      <c r="D586">
        <v>1118297</v>
      </c>
      <c r="E586">
        <v>1.1182970000000001</v>
      </c>
      <c r="F586">
        <v>9493</v>
      </c>
      <c r="G586">
        <v>41418.400000000001</v>
      </c>
      <c r="H586">
        <v>96491</v>
      </c>
    </row>
    <row r="587" spans="1:8" x14ac:dyDescent="0.25">
      <c r="A587" t="s">
        <v>821</v>
      </c>
      <c r="B587" t="s">
        <v>1593</v>
      </c>
      <c r="C587">
        <v>25</v>
      </c>
      <c r="D587">
        <v>1002603</v>
      </c>
      <c r="E587">
        <v>1.0026029999999999</v>
      </c>
      <c r="F587">
        <v>12803</v>
      </c>
      <c r="G587">
        <v>40104.1</v>
      </c>
      <c r="H587">
        <v>107919</v>
      </c>
    </row>
    <row r="588" spans="1:8" x14ac:dyDescent="0.25">
      <c r="A588" t="s">
        <v>822</v>
      </c>
      <c r="B588" t="s">
        <v>1593</v>
      </c>
      <c r="C588">
        <v>15</v>
      </c>
      <c r="D588">
        <v>1487964</v>
      </c>
      <c r="E588">
        <v>1.4879640000000001</v>
      </c>
      <c r="F588">
        <v>3058</v>
      </c>
      <c r="G588">
        <v>99197.6</v>
      </c>
      <c r="H588">
        <v>208480</v>
      </c>
    </row>
    <row r="589" spans="1:8" x14ac:dyDescent="0.25">
      <c r="A589" t="s">
        <v>823</v>
      </c>
      <c r="B589" t="s">
        <v>1593</v>
      </c>
      <c r="C589">
        <v>61</v>
      </c>
      <c r="D589">
        <v>1609288</v>
      </c>
      <c r="E589">
        <v>1.6092880000000001</v>
      </c>
      <c r="F589">
        <v>4675</v>
      </c>
      <c r="G589">
        <v>26381.8</v>
      </c>
      <c r="H589">
        <v>80057</v>
      </c>
    </row>
    <row r="590" spans="1:8" x14ac:dyDescent="0.25">
      <c r="A590" t="s">
        <v>824</v>
      </c>
      <c r="B590" t="s">
        <v>1593</v>
      </c>
      <c r="C590">
        <v>21</v>
      </c>
      <c r="D590">
        <v>2013482</v>
      </c>
      <c r="E590">
        <v>2.0134820000000002</v>
      </c>
      <c r="F590">
        <v>3795</v>
      </c>
      <c r="G590">
        <v>95880.1</v>
      </c>
      <c r="H590">
        <v>537869</v>
      </c>
    </row>
    <row r="591" spans="1:8" x14ac:dyDescent="0.25">
      <c r="A591" t="s">
        <v>825</v>
      </c>
      <c r="B591" t="s">
        <v>1593</v>
      </c>
      <c r="C591">
        <v>18</v>
      </c>
      <c r="D591">
        <v>2127345</v>
      </c>
      <c r="E591">
        <v>2.127345</v>
      </c>
      <c r="F591">
        <v>4597</v>
      </c>
      <c r="G591">
        <v>118185.8</v>
      </c>
      <c r="H591">
        <v>492209</v>
      </c>
    </row>
    <row r="592" spans="1:8" x14ac:dyDescent="0.25">
      <c r="A592" t="s">
        <v>826</v>
      </c>
      <c r="B592" t="s">
        <v>1593</v>
      </c>
      <c r="C592">
        <v>11</v>
      </c>
      <c r="D592">
        <v>1904506</v>
      </c>
      <c r="E592">
        <v>1.904506</v>
      </c>
      <c r="F592">
        <v>36038</v>
      </c>
      <c r="G592">
        <v>173136.9</v>
      </c>
      <c r="H592">
        <v>451258</v>
      </c>
    </row>
    <row r="593" spans="1:8" x14ac:dyDescent="0.25">
      <c r="A593" t="s">
        <v>827</v>
      </c>
      <c r="B593" t="s">
        <v>1593</v>
      </c>
      <c r="C593">
        <v>13</v>
      </c>
      <c r="D593">
        <v>1846084</v>
      </c>
      <c r="E593">
        <v>1.8460840000000001</v>
      </c>
      <c r="F593">
        <v>2587</v>
      </c>
      <c r="G593">
        <v>142006.5</v>
      </c>
      <c r="H593">
        <v>1024451</v>
      </c>
    </row>
    <row r="594" spans="1:8" x14ac:dyDescent="0.25">
      <c r="A594" t="s">
        <v>828</v>
      </c>
      <c r="B594" t="s">
        <v>1593</v>
      </c>
      <c r="C594">
        <v>26</v>
      </c>
      <c r="D594">
        <v>851533</v>
      </c>
      <c r="E594">
        <v>0.85153299999999998</v>
      </c>
      <c r="F594">
        <v>5337</v>
      </c>
      <c r="G594">
        <v>32751.3</v>
      </c>
      <c r="H594">
        <v>113665</v>
      </c>
    </row>
    <row r="595" spans="1:8" x14ac:dyDescent="0.25">
      <c r="A595" t="s">
        <v>829</v>
      </c>
      <c r="B595" t="s">
        <v>1593</v>
      </c>
      <c r="C595">
        <v>30</v>
      </c>
      <c r="D595">
        <v>1252221</v>
      </c>
      <c r="E595">
        <v>1.252221</v>
      </c>
      <c r="F595">
        <v>3005</v>
      </c>
      <c r="G595">
        <v>41740.699999999997</v>
      </c>
      <c r="H595">
        <v>193572</v>
      </c>
    </row>
    <row r="596" spans="1:8" x14ac:dyDescent="0.25">
      <c r="A596" t="s">
        <v>830</v>
      </c>
      <c r="B596" t="s">
        <v>1593</v>
      </c>
      <c r="C596">
        <v>2</v>
      </c>
      <c r="D596">
        <v>1163033</v>
      </c>
      <c r="E596">
        <v>1.163033</v>
      </c>
      <c r="F596">
        <v>5579</v>
      </c>
      <c r="G596">
        <v>581516.5</v>
      </c>
      <c r="H596">
        <v>1157454</v>
      </c>
    </row>
    <row r="597" spans="1:8" x14ac:dyDescent="0.25">
      <c r="A597" t="s">
        <v>831</v>
      </c>
      <c r="B597" t="s">
        <v>1593</v>
      </c>
      <c r="C597">
        <v>7</v>
      </c>
      <c r="D597">
        <v>1144486</v>
      </c>
      <c r="E597">
        <v>1.1444859999999999</v>
      </c>
      <c r="F597">
        <v>30008</v>
      </c>
      <c r="G597">
        <v>163498</v>
      </c>
      <c r="H597">
        <v>375259</v>
      </c>
    </row>
    <row r="598" spans="1:8" x14ac:dyDescent="0.25">
      <c r="A598" t="s">
        <v>832</v>
      </c>
      <c r="B598" t="s">
        <v>1593</v>
      </c>
      <c r="C598">
        <v>25</v>
      </c>
      <c r="D598">
        <v>797871</v>
      </c>
      <c r="E598">
        <v>0.797871</v>
      </c>
      <c r="F598">
        <v>3846</v>
      </c>
      <c r="G598">
        <v>31914.799999999999</v>
      </c>
      <c r="H598">
        <v>131568</v>
      </c>
    </row>
    <row r="599" spans="1:8" x14ac:dyDescent="0.25">
      <c r="A599" t="s">
        <v>833</v>
      </c>
      <c r="B599" t="s">
        <v>1593</v>
      </c>
      <c r="C599">
        <v>9</v>
      </c>
      <c r="D599">
        <v>476411</v>
      </c>
      <c r="E599">
        <v>0.47641099999999997</v>
      </c>
      <c r="F599">
        <v>4990</v>
      </c>
      <c r="G599">
        <v>52934.6</v>
      </c>
      <c r="H599">
        <v>157499</v>
      </c>
    </row>
    <row r="600" spans="1:8" x14ac:dyDescent="0.25">
      <c r="A600" t="s">
        <v>834</v>
      </c>
      <c r="B600" t="s">
        <v>1593</v>
      </c>
      <c r="C600">
        <v>5</v>
      </c>
      <c r="D600">
        <v>876926</v>
      </c>
      <c r="E600">
        <v>0.87692599999999998</v>
      </c>
      <c r="F600">
        <v>72960</v>
      </c>
      <c r="G600">
        <v>175385.2</v>
      </c>
      <c r="H600">
        <v>361896</v>
      </c>
    </row>
    <row r="601" spans="1:8" x14ac:dyDescent="0.25">
      <c r="A601" t="s">
        <v>835</v>
      </c>
      <c r="B601" t="s">
        <v>1593</v>
      </c>
      <c r="C601">
        <v>58</v>
      </c>
      <c r="D601">
        <v>924530</v>
      </c>
      <c r="E601">
        <v>0.92452999999999996</v>
      </c>
      <c r="F601">
        <v>2035</v>
      </c>
      <c r="G601">
        <v>15940.2</v>
      </c>
      <c r="H601">
        <v>85673</v>
      </c>
    </row>
    <row r="602" spans="1:8" x14ac:dyDescent="0.25">
      <c r="A602" t="s">
        <v>836</v>
      </c>
      <c r="B602" t="s">
        <v>1593</v>
      </c>
      <c r="C602">
        <v>11</v>
      </c>
      <c r="D602">
        <v>799996</v>
      </c>
      <c r="E602">
        <v>0.79999600000000004</v>
      </c>
      <c r="F602">
        <v>3767</v>
      </c>
      <c r="G602">
        <v>72726.899999999994</v>
      </c>
      <c r="H602">
        <v>155925</v>
      </c>
    </row>
    <row r="603" spans="1:8" x14ac:dyDescent="0.25">
      <c r="A603" t="s">
        <v>1250</v>
      </c>
      <c r="B603" t="s">
        <v>1593</v>
      </c>
      <c r="C603">
        <v>11</v>
      </c>
      <c r="D603">
        <v>1422665</v>
      </c>
      <c r="E603">
        <v>1.4226650000000001</v>
      </c>
      <c r="F603">
        <v>10576</v>
      </c>
      <c r="G603">
        <v>129333.2</v>
      </c>
      <c r="H603">
        <v>670408</v>
      </c>
    </row>
    <row r="604" spans="1:8" x14ac:dyDescent="0.25">
      <c r="A604" t="s">
        <v>1251</v>
      </c>
      <c r="B604" t="s">
        <v>1593</v>
      </c>
      <c r="C604">
        <v>1</v>
      </c>
      <c r="D604">
        <v>1595842</v>
      </c>
      <c r="E604">
        <v>1.595842</v>
      </c>
      <c r="F604">
        <v>1595842</v>
      </c>
      <c r="G604">
        <v>1595842</v>
      </c>
      <c r="H604">
        <v>1595842</v>
      </c>
    </row>
    <row r="605" spans="1:8" x14ac:dyDescent="0.25">
      <c r="A605" t="s">
        <v>1252</v>
      </c>
      <c r="B605" t="s">
        <v>1593</v>
      </c>
      <c r="C605">
        <v>2</v>
      </c>
      <c r="D605">
        <v>1887786</v>
      </c>
      <c r="E605">
        <v>1.887786</v>
      </c>
      <c r="F605">
        <v>31136</v>
      </c>
      <c r="G605">
        <v>943893</v>
      </c>
      <c r="H605">
        <v>1856650</v>
      </c>
    </row>
    <row r="606" spans="1:8" x14ac:dyDescent="0.25">
      <c r="A606" t="s">
        <v>1253</v>
      </c>
      <c r="B606" t="s">
        <v>1593</v>
      </c>
      <c r="C606">
        <v>32</v>
      </c>
      <c r="D606">
        <v>3155882</v>
      </c>
      <c r="E606">
        <v>3.1558820000000001</v>
      </c>
      <c r="F606">
        <v>16183</v>
      </c>
      <c r="G606">
        <v>98621.3</v>
      </c>
      <c r="H606">
        <v>303116</v>
      </c>
    </row>
    <row r="607" spans="1:8" x14ac:dyDescent="0.25">
      <c r="A607" t="s">
        <v>1254</v>
      </c>
      <c r="B607" t="s">
        <v>1593</v>
      </c>
      <c r="C607">
        <v>1</v>
      </c>
      <c r="D607">
        <v>3924705</v>
      </c>
      <c r="E607">
        <v>3.9247049999999999</v>
      </c>
      <c r="F607">
        <v>3924705</v>
      </c>
      <c r="G607">
        <v>3924705</v>
      </c>
      <c r="H607">
        <v>3924705</v>
      </c>
    </row>
    <row r="608" spans="1:8" x14ac:dyDescent="0.25">
      <c r="A608" t="s">
        <v>1255</v>
      </c>
      <c r="B608" t="s">
        <v>1593</v>
      </c>
      <c r="C608">
        <v>15</v>
      </c>
      <c r="D608">
        <v>3763360</v>
      </c>
      <c r="E608">
        <v>3.76336</v>
      </c>
      <c r="F608">
        <v>41523</v>
      </c>
      <c r="G608">
        <v>250890.7</v>
      </c>
      <c r="H608">
        <v>831514</v>
      </c>
    </row>
    <row r="609" spans="1:8" x14ac:dyDescent="0.25">
      <c r="A609" t="s">
        <v>1256</v>
      </c>
      <c r="B609" t="s">
        <v>1593</v>
      </c>
      <c r="C609">
        <v>12</v>
      </c>
      <c r="D609">
        <v>1914460</v>
      </c>
      <c r="E609">
        <v>1.9144600000000001</v>
      </c>
      <c r="F609">
        <v>20330</v>
      </c>
      <c r="G609">
        <v>159538.29999999999</v>
      </c>
      <c r="H609">
        <v>567425</v>
      </c>
    </row>
    <row r="610" spans="1:8" x14ac:dyDescent="0.25">
      <c r="A610" t="s">
        <v>1257</v>
      </c>
      <c r="B610" t="s">
        <v>1593</v>
      </c>
      <c r="C610">
        <v>12</v>
      </c>
      <c r="D610">
        <v>2106885</v>
      </c>
      <c r="E610">
        <v>2.1068850000000001</v>
      </c>
      <c r="F610">
        <v>17100</v>
      </c>
      <c r="G610">
        <v>175573.8</v>
      </c>
      <c r="H610">
        <v>1067632</v>
      </c>
    </row>
    <row r="611" spans="1:8" x14ac:dyDescent="0.25">
      <c r="A611" t="s">
        <v>1258</v>
      </c>
      <c r="B611" t="s">
        <v>1593</v>
      </c>
      <c r="C611">
        <v>26</v>
      </c>
      <c r="D611">
        <v>2432225</v>
      </c>
      <c r="E611">
        <v>2.4322249999999999</v>
      </c>
      <c r="F611">
        <v>11002</v>
      </c>
      <c r="G611">
        <v>93547.1</v>
      </c>
      <c r="H611">
        <v>531290</v>
      </c>
    </row>
    <row r="612" spans="1:8" x14ac:dyDescent="0.25">
      <c r="A612" t="s">
        <v>1259</v>
      </c>
      <c r="B612" t="s">
        <v>1593</v>
      </c>
      <c r="C612">
        <v>18</v>
      </c>
      <c r="D612">
        <v>3989628</v>
      </c>
      <c r="E612">
        <v>3.9896280000000002</v>
      </c>
      <c r="F612">
        <v>2048</v>
      </c>
      <c r="G612">
        <v>221646</v>
      </c>
      <c r="H612">
        <v>1742870</v>
      </c>
    </row>
    <row r="613" spans="1:8" x14ac:dyDescent="0.25">
      <c r="A613" t="s">
        <v>1260</v>
      </c>
      <c r="B613" t="s">
        <v>1593</v>
      </c>
      <c r="C613">
        <v>12</v>
      </c>
      <c r="D613">
        <v>2435157</v>
      </c>
      <c r="E613">
        <v>2.4351569999999998</v>
      </c>
      <c r="F613">
        <v>9433</v>
      </c>
      <c r="G613">
        <v>202929.8</v>
      </c>
      <c r="H613">
        <v>958736</v>
      </c>
    </row>
    <row r="614" spans="1:8" x14ac:dyDescent="0.25">
      <c r="A614" t="s">
        <v>1261</v>
      </c>
      <c r="B614" t="s">
        <v>1593</v>
      </c>
      <c r="C614">
        <v>27</v>
      </c>
      <c r="D614">
        <v>2396361</v>
      </c>
      <c r="E614">
        <v>2.3963610000000002</v>
      </c>
      <c r="F614">
        <v>2054</v>
      </c>
      <c r="G614">
        <v>88754.1</v>
      </c>
      <c r="H614">
        <v>692114</v>
      </c>
    </row>
    <row r="615" spans="1:8" x14ac:dyDescent="0.25">
      <c r="A615" t="s">
        <v>1262</v>
      </c>
      <c r="B615" t="s">
        <v>1593</v>
      </c>
      <c r="C615">
        <v>67</v>
      </c>
      <c r="D615">
        <v>1156029</v>
      </c>
      <c r="E615">
        <v>1.156029</v>
      </c>
      <c r="F615">
        <v>2026</v>
      </c>
      <c r="G615">
        <v>17254.2</v>
      </c>
      <c r="H615">
        <v>265408</v>
      </c>
    </row>
    <row r="616" spans="1:8" x14ac:dyDescent="0.25">
      <c r="A616" t="s">
        <v>1263</v>
      </c>
      <c r="B616" t="s">
        <v>1593</v>
      </c>
      <c r="C616">
        <v>2</v>
      </c>
      <c r="D616">
        <v>2086966</v>
      </c>
      <c r="E616">
        <v>2.0869659999999999</v>
      </c>
      <c r="F616">
        <v>505743</v>
      </c>
      <c r="G616">
        <v>1043483</v>
      </c>
      <c r="H616">
        <v>1581223</v>
      </c>
    </row>
    <row r="617" spans="1:8" x14ac:dyDescent="0.25">
      <c r="A617" t="s">
        <v>1264</v>
      </c>
      <c r="B617" t="s">
        <v>1593</v>
      </c>
      <c r="C617">
        <v>4</v>
      </c>
      <c r="D617">
        <v>704266</v>
      </c>
      <c r="E617">
        <v>0.70426599999999995</v>
      </c>
      <c r="F617">
        <v>4210</v>
      </c>
      <c r="G617">
        <v>176066.5</v>
      </c>
      <c r="H617">
        <v>358810</v>
      </c>
    </row>
    <row r="618" spans="1:8" x14ac:dyDescent="0.25">
      <c r="A618" t="s">
        <v>1265</v>
      </c>
      <c r="B618" t="s">
        <v>1593</v>
      </c>
      <c r="C618">
        <v>4</v>
      </c>
      <c r="D618">
        <v>881300</v>
      </c>
      <c r="E618">
        <v>0.88129999999999997</v>
      </c>
      <c r="F618">
        <v>3065</v>
      </c>
      <c r="G618">
        <v>220325</v>
      </c>
      <c r="H618">
        <v>865965</v>
      </c>
    </row>
    <row r="619" spans="1:8" x14ac:dyDescent="0.25">
      <c r="A619" t="s">
        <v>1266</v>
      </c>
      <c r="B619" t="s">
        <v>1593</v>
      </c>
      <c r="C619">
        <v>1</v>
      </c>
      <c r="D619">
        <v>1199440</v>
      </c>
      <c r="E619">
        <v>1.1994400000000001</v>
      </c>
      <c r="F619">
        <v>1199440</v>
      </c>
      <c r="G619">
        <v>1199440</v>
      </c>
      <c r="H619">
        <v>1199440</v>
      </c>
    </row>
    <row r="620" spans="1:8" x14ac:dyDescent="0.25">
      <c r="A620" t="s">
        <v>1267</v>
      </c>
      <c r="B620" t="s">
        <v>1593</v>
      </c>
      <c r="C620">
        <v>1</v>
      </c>
      <c r="D620">
        <v>1454841</v>
      </c>
      <c r="E620">
        <v>1.4548410000000001</v>
      </c>
      <c r="F620">
        <v>1454841</v>
      </c>
      <c r="G620">
        <v>1454841</v>
      </c>
      <c r="H620">
        <v>1454841</v>
      </c>
    </row>
    <row r="621" spans="1:8" x14ac:dyDescent="0.25">
      <c r="A621" t="s">
        <v>1268</v>
      </c>
      <c r="B621" t="s">
        <v>1593</v>
      </c>
      <c r="C621">
        <v>10</v>
      </c>
      <c r="D621">
        <v>870689</v>
      </c>
      <c r="E621">
        <v>0.87068900000000005</v>
      </c>
      <c r="F621">
        <v>43635</v>
      </c>
      <c r="G621">
        <v>87068.9</v>
      </c>
      <c r="H621">
        <v>159886</v>
      </c>
    </row>
    <row r="622" spans="1:8" x14ac:dyDescent="0.25">
      <c r="A622" t="s">
        <v>1269</v>
      </c>
      <c r="B622" t="s">
        <v>1593</v>
      </c>
      <c r="C622">
        <v>10</v>
      </c>
      <c r="D622">
        <v>847798</v>
      </c>
      <c r="E622">
        <v>0.84779800000000005</v>
      </c>
      <c r="F622">
        <v>4704</v>
      </c>
      <c r="G622">
        <v>84779.8</v>
      </c>
      <c r="H622">
        <v>200838</v>
      </c>
    </row>
    <row r="623" spans="1:8" x14ac:dyDescent="0.25">
      <c r="A623" t="s">
        <v>1270</v>
      </c>
      <c r="B623" t="s">
        <v>1593</v>
      </c>
      <c r="C623">
        <v>14</v>
      </c>
      <c r="D623">
        <v>1534711</v>
      </c>
      <c r="E623">
        <v>1.5347109999999999</v>
      </c>
      <c r="F623">
        <v>5570</v>
      </c>
      <c r="G623">
        <v>109622.2</v>
      </c>
      <c r="H623">
        <v>820423</v>
      </c>
    </row>
    <row r="624" spans="1:8" x14ac:dyDescent="0.25">
      <c r="A624" t="s">
        <v>1271</v>
      </c>
      <c r="B624" t="s">
        <v>1593</v>
      </c>
      <c r="C624">
        <v>3</v>
      </c>
      <c r="D624">
        <v>1068193</v>
      </c>
      <c r="E624">
        <v>1.0681929999999999</v>
      </c>
      <c r="F624">
        <v>12151</v>
      </c>
      <c r="G624">
        <v>356064.3</v>
      </c>
      <c r="H624">
        <v>605935</v>
      </c>
    </row>
    <row r="625" spans="1:8" x14ac:dyDescent="0.25">
      <c r="A625" t="s">
        <v>53</v>
      </c>
      <c r="B625" t="s">
        <v>1594</v>
      </c>
      <c r="C625">
        <v>5</v>
      </c>
      <c r="D625">
        <v>3068621</v>
      </c>
      <c r="E625">
        <v>3.0686209999999998</v>
      </c>
      <c r="F625">
        <v>6875</v>
      </c>
      <c r="G625">
        <v>613724.19999999995</v>
      </c>
      <c r="H625">
        <v>1601184</v>
      </c>
    </row>
    <row r="626" spans="1:8" x14ac:dyDescent="0.25">
      <c r="A626" t="s">
        <v>54</v>
      </c>
      <c r="B626" t="s">
        <v>1594</v>
      </c>
      <c r="C626">
        <v>4</v>
      </c>
      <c r="D626">
        <v>3267887</v>
      </c>
      <c r="E626">
        <v>3.267887</v>
      </c>
      <c r="F626">
        <v>69982</v>
      </c>
      <c r="G626">
        <v>816971.8</v>
      </c>
      <c r="H626">
        <v>1700296</v>
      </c>
    </row>
    <row r="627" spans="1:8" x14ac:dyDescent="0.25">
      <c r="A627" t="s">
        <v>55</v>
      </c>
      <c r="B627" t="s">
        <v>1594</v>
      </c>
      <c r="C627">
        <v>261</v>
      </c>
      <c r="D627">
        <v>3458741</v>
      </c>
      <c r="E627">
        <v>3.4587409999999998</v>
      </c>
      <c r="F627">
        <v>2015</v>
      </c>
      <c r="G627">
        <v>13251.9</v>
      </c>
      <c r="H627">
        <v>255131</v>
      </c>
    </row>
    <row r="628" spans="1:8" x14ac:dyDescent="0.25">
      <c r="A628" t="s">
        <v>56</v>
      </c>
      <c r="B628" t="s">
        <v>1594</v>
      </c>
      <c r="C628">
        <v>11</v>
      </c>
      <c r="D628">
        <v>6471771</v>
      </c>
      <c r="E628">
        <v>6.4717710000000004</v>
      </c>
      <c r="F628">
        <v>80360</v>
      </c>
      <c r="G628">
        <v>588342.80000000005</v>
      </c>
      <c r="H628">
        <v>2156022</v>
      </c>
    </row>
    <row r="629" spans="1:8" x14ac:dyDescent="0.25">
      <c r="A629" t="s">
        <v>57</v>
      </c>
      <c r="B629" t="s">
        <v>1594</v>
      </c>
      <c r="C629">
        <v>33</v>
      </c>
      <c r="D629">
        <v>4559809</v>
      </c>
      <c r="E629">
        <v>4.5598089999999996</v>
      </c>
      <c r="F629">
        <v>3889</v>
      </c>
      <c r="G629">
        <v>138176</v>
      </c>
      <c r="H629">
        <v>635114</v>
      </c>
    </row>
    <row r="630" spans="1:8" x14ac:dyDescent="0.25">
      <c r="A630" t="s">
        <v>58</v>
      </c>
      <c r="B630" t="s">
        <v>1594</v>
      </c>
      <c r="C630">
        <v>7</v>
      </c>
      <c r="D630">
        <v>3168549</v>
      </c>
      <c r="E630">
        <v>3.1685490000000001</v>
      </c>
      <c r="F630">
        <v>16021</v>
      </c>
      <c r="G630">
        <v>452649.9</v>
      </c>
      <c r="H630">
        <v>1195956</v>
      </c>
    </row>
    <row r="631" spans="1:8" x14ac:dyDescent="0.25">
      <c r="A631" t="s">
        <v>59</v>
      </c>
      <c r="B631" t="s">
        <v>1594</v>
      </c>
      <c r="C631">
        <v>2</v>
      </c>
      <c r="D631">
        <v>4083450</v>
      </c>
      <c r="E631">
        <v>4.08345</v>
      </c>
      <c r="F631">
        <v>14080</v>
      </c>
      <c r="G631">
        <v>2041725</v>
      </c>
      <c r="H631">
        <v>4069370</v>
      </c>
    </row>
    <row r="632" spans="1:8" x14ac:dyDescent="0.25">
      <c r="A632" t="s">
        <v>60</v>
      </c>
      <c r="B632" t="s">
        <v>1594</v>
      </c>
      <c r="C632">
        <v>7</v>
      </c>
      <c r="D632">
        <v>5160836</v>
      </c>
      <c r="E632">
        <v>5.1608359999999998</v>
      </c>
      <c r="F632">
        <v>2098</v>
      </c>
      <c r="G632">
        <v>737262.3</v>
      </c>
      <c r="H632">
        <v>2067310</v>
      </c>
    </row>
    <row r="633" spans="1:8" x14ac:dyDescent="0.25">
      <c r="A633" t="s">
        <v>61</v>
      </c>
      <c r="B633" t="s">
        <v>1594</v>
      </c>
      <c r="C633">
        <v>7</v>
      </c>
      <c r="D633">
        <v>3049810</v>
      </c>
      <c r="E633">
        <v>3.0498099999999999</v>
      </c>
      <c r="F633">
        <v>3518</v>
      </c>
      <c r="G633">
        <v>435687.1</v>
      </c>
      <c r="H633">
        <v>998195</v>
      </c>
    </row>
    <row r="634" spans="1:8" x14ac:dyDescent="0.25">
      <c r="A634" t="s">
        <v>62</v>
      </c>
      <c r="B634" t="s">
        <v>1594</v>
      </c>
      <c r="C634">
        <v>37</v>
      </c>
      <c r="D634">
        <v>4466780</v>
      </c>
      <c r="E634">
        <v>4.46678</v>
      </c>
      <c r="F634">
        <v>2360</v>
      </c>
      <c r="G634">
        <v>120723.8</v>
      </c>
      <c r="H634">
        <v>641275</v>
      </c>
    </row>
    <row r="635" spans="1:8" x14ac:dyDescent="0.25">
      <c r="A635" t="s">
        <v>63</v>
      </c>
      <c r="B635" t="s">
        <v>1594</v>
      </c>
      <c r="C635">
        <v>22</v>
      </c>
      <c r="D635">
        <v>5145426</v>
      </c>
      <c r="E635">
        <v>5.1454259999999996</v>
      </c>
      <c r="F635">
        <v>8040</v>
      </c>
      <c r="G635">
        <v>233883</v>
      </c>
      <c r="H635">
        <v>716879</v>
      </c>
    </row>
    <row r="636" spans="1:8" x14ac:dyDescent="0.25">
      <c r="A636" t="s">
        <v>64</v>
      </c>
      <c r="B636" t="s">
        <v>1594</v>
      </c>
      <c r="C636">
        <v>23</v>
      </c>
      <c r="D636">
        <v>5121233</v>
      </c>
      <c r="E636">
        <v>5.1212330000000001</v>
      </c>
      <c r="F636">
        <v>4711</v>
      </c>
      <c r="G636">
        <v>222662.3</v>
      </c>
      <c r="H636">
        <v>1001521</v>
      </c>
    </row>
    <row r="637" spans="1:8" x14ac:dyDescent="0.25">
      <c r="A637" t="s">
        <v>65</v>
      </c>
      <c r="B637" t="s">
        <v>1594</v>
      </c>
      <c r="C637">
        <v>6</v>
      </c>
      <c r="D637">
        <v>4937129</v>
      </c>
      <c r="E637">
        <v>4.9371289999999997</v>
      </c>
      <c r="F637">
        <v>253767</v>
      </c>
      <c r="G637">
        <v>822854.8</v>
      </c>
      <c r="H637">
        <v>1590456</v>
      </c>
    </row>
    <row r="638" spans="1:8" x14ac:dyDescent="0.25">
      <c r="A638" t="s">
        <v>66</v>
      </c>
      <c r="B638" t="s">
        <v>1594</v>
      </c>
      <c r="C638">
        <v>19</v>
      </c>
      <c r="D638">
        <v>5461026</v>
      </c>
      <c r="E638">
        <v>5.4610260000000004</v>
      </c>
      <c r="F638">
        <v>12035</v>
      </c>
      <c r="G638">
        <v>287422.40000000002</v>
      </c>
      <c r="H638">
        <v>991720</v>
      </c>
    </row>
    <row r="639" spans="1:8" x14ac:dyDescent="0.25">
      <c r="A639" t="s">
        <v>67</v>
      </c>
      <c r="B639" t="s">
        <v>1594</v>
      </c>
      <c r="C639">
        <v>5</v>
      </c>
      <c r="D639">
        <v>6059056</v>
      </c>
      <c r="E639">
        <v>6.059056</v>
      </c>
      <c r="F639">
        <v>175421</v>
      </c>
      <c r="G639">
        <v>1211811.2</v>
      </c>
      <c r="H639">
        <v>2051273</v>
      </c>
    </row>
    <row r="640" spans="1:8" x14ac:dyDescent="0.25">
      <c r="A640" t="s">
        <v>68</v>
      </c>
      <c r="B640" t="s">
        <v>1594</v>
      </c>
      <c r="C640">
        <v>2</v>
      </c>
      <c r="D640">
        <v>3505869</v>
      </c>
      <c r="E640">
        <v>3.5058690000000001</v>
      </c>
      <c r="F640">
        <v>1618203</v>
      </c>
      <c r="G640">
        <v>1752934.5</v>
      </c>
      <c r="H640">
        <v>1887666</v>
      </c>
    </row>
    <row r="641" spans="1:8" x14ac:dyDescent="0.25">
      <c r="A641" t="s">
        <v>69</v>
      </c>
      <c r="B641" t="s">
        <v>1594</v>
      </c>
      <c r="C641">
        <v>21</v>
      </c>
      <c r="D641">
        <v>5780638</v>
      </c>
      <c r="E641">
        <v>5.7806379999999997</v>
      </c>
      <c r="F641">
        <v>13152</v>
      </c>
      <c r="G641">
        <v>275268.5</v>
      </c>
      <c r="H641">
        <v>1017211</v>
      </c>
    </row>
    <row r="642" spans="1:8" x14ac:dyDescent="0.25">
      <c r="A642" t="s">
        <v>70</v>
      </c>
      <c r="B642" t="s">
        <v>1594</v>
      </c>
      <c r="C642">
        <v>37</v>
      </c>
      <c r="D642">
        <v>4603967</v>
      </c>
      <c r="E642">
        <v>4.6039669999999999</v>
      </c>
      <c r="F642">
        <v>4111</v>
      </c>
      <c r="G642">
        <v>124431.5</v>
      </c>
      <c r="H642">
        <v>524483</v>
      </c>
    </row>
    <row r="643" spans="1:8" x14ac:dyDescent="0.25">
      <c r="A643" t="s">
        <v>71</v>
      </c>
      <c r="B643" t="s">
        <v>1594</v>
      </c>
      <c r="C643">
        <v>8</v>
      </c>
      <c r="D643">
        <v>3710407</v>
      </c>
      <c r="E643">
        <v>3.710407</v>
      </c>
      <c r="F643">
        <v>81433</v>
      </c>
      <c r="G643">
        <v>463800.9</v>
      </c>
      <c r="H643">
        <v>1244941</v>
      </c>
    </row>
    <row r="644" spans="1:8" x14ac:dyDescent="0.25">
      <c r="A644" t="s">
        <v>72</v>
      </c>
      <c r="B644" t="s">
        <v>1594</v>
      </c>
      <c r="C644">
        <v>13</v>
      </c>
      <c r="D644">
        <v>4987797</v>
      </c>
      <c r="E644">
        <v>4.9877969999999996</v>
      </c>
      <c r="F644">
        <v>9814</v>
      </c>
      <c r="G644">
        <v>383676.7</v>
      </c>
      <c r="H644">
        <v>1103183</v>
      </c>
    </row>
    <row r="645" spans="1:8" x14ac:dyDescent="0.25">
      <c r="A645" t="s">
        <v>73</v>
      </c>
      <c r="B645" t="s">
        <v>1594</v>
      </c>
      <c r="C645">
        <v>9</v>
      </c>
      <c r="D645">
        <v>4128435</v>
      </c>
      <c r="E645">
        <v>4.1284349999999996</v>
      </c>
      <c r="F645">
        <v>2089</v>
      </c>
      <c r="G645">
        <v>458715</v>
      </c>
      <c r="H645">
        <v>1782838</v>
      </c>
    </row>
    <row r="646" spans="1:8" x14ac:dyDescent="0.25">
      <c r="A646" t="s">
        <v>74</v>
      </c>
      <c r="B646" t="s">
        <v>1594</v>
      </c>
      <c r="C646">
        <v>6</v>
      </c>
      <c r="D646">
        <v>3175064</v>
      </c>
      <c r="E646">
        <v>3.1750639999999999</v>
      </c>
      <c r="F646">
        <v>43509</v>
      </c>
      <c r="G646">
        <v>529177.30000000005</v>
      </c>
      <c r="H646">
        <v>1953586</v>
      </c>
    </row>
    <row r="647" spans="1:8" x14ac:dyDescent="0.25">
      <c r="A647" t="s">
        <v>75</v>
      </c>
      <c r="B647" t="s">
        <v>1594</v>
      </c>
      <c r="C647">
        <v>16</v>
      </c>
      <c r="D647">
        <v>3401429</v>
      </c>
      <c r="E647">
        <v>3.4014289999999998</v>
      </c>
      <c r="F647">
        <v>5964</v>
      </c>
      <c r="G647">
        <v>212589.3</v>
      </c>
      <c r="H647">
        <v>571687</v>
      </c>
    </row>
    <row r="648" spans="1:8" x14ac:dyDescent="0.25">
      <c r="A648" t="s">
        <v>76</v>
      </c>
      <c r="B648" t="s">
        <v>1594</v>
      </c>
      <c r="C648">
        <v>23</v>
      </c>
      <c r="D648">
        <v>3565266</v>
      </c>
      <c r="E648">
        <v>3.5652659999999998</v>
      </c>
      <c r="F648">
        <v>5134</v>
      </c>
      <c r="G648">
        <v>155011.6</v>
      </c>
      <c r="H648">
        <v>729976</v>
      </c>
    </row>
    <row r="649" spans="1:8" x14ac:dyDescent="0.25">
      <c r="A649" t="s">
        <v>77</v>
      </c>
      <c r="B649" t="s">
        <v>1594</v>
      </c>
      <c r="C649">
        <v>266</v>
      </c>
      <c r="D649">
        <v>2976547</v>
      </c>
      <c r="E649">
        <v>2.9765470000000001</v>
      </c>
      <c r="F649">
        <v>2003</v>
      </c>
      <c r="G649">
        <v>11190</v>
      </c>
      <c r="H649">
        <v>204431</v>
      </c>
    </row>
    <row r="650" spans="1:8" x14ac:dyDescent="0.25">
      <c r="A650" t="s">
        <v>78</v>
      </c>
      <c r="B650" t="s">
        <v>1594</v>
      </c>
      <c r="C650">
        <v>29</v>
      </c>
      <c r="D650">
        <v>4148799</v>
      </c>
      <c r="E650">
        <v>4.1487990000000003</v>
      </c>
      <c r="F650">
        <v>2241</v>
      </c>
      <c r="G650">
        <v>143062</v>
      </c>
      <c r="H650">
        <v>599454</v>
      </c>
    </row>
    <row r="651" spans="1:8" x14ac:dyDescent="0.25">
      <c r="A651" t="s">
        <v>79</v>
      </c>
      <c r="B651" t="s">
        <v>1594</v>
      </c>
      <c r="C651">
        <v>10</v>
      </c>
      <c r="D651">
        <v>4768760</v>
      </c>
      <c r="E651">
        <v>4.7687600000000003</v>
      </c>
      <c r="F651">
        <v>83939</v>
      </c>
      <c r="G651">
        <v>476876</v>
      </c>
      <c r="H651">
        <v>1504092</v>
      </c>
    </row>
    <row r="652" spans="1:8" x14ac:dyDescent="0.25">
      <c r="A652" t="s">
        <v>80</v>
      </c>
      <c r="B652" t="s">
        <v>1594</v>
      </c>
      <c r="C652">
        <v>13</v>
      </c>
      <c r="D652">
        <v>3989112</v>
      </c>
      <c r="E652">
        <v>3.989112</v>
      </c>
      <c r="F652">
        <v>2013</v>
      </c>
      <c r="G652">
        <v>306854.8</v>
      </c>
      <c r="H652">
        <v>1036614</v>
      </c>
    </row>
    <row r="653" spans="1:8" x14ac:dyDescent="0.25">
      <c r="A653" t="s">
        <v>81</v>
      </c>
      <c r="B653" t="s">
        <v>1594</v>
      </c>
      <c r="C653">
        <v>47</v>
      </c>
      <c r="D653">
        <v>4105647</v>
      </c>
      <c r="E653">
        <v>4.1056470000000003</v>
      </c>
      <c r="F653">
        <v>2059</v>
      </c>
      <c r="G653">
        <v>87354.2</v>
      </c>
      <c r="H653">
        <v>385887</v>
      </c>
    </row>
    <row r="654" spans="1:8" x14ac:dyDescent="0.25">
      <c r="A654" t="s">
        <v>82</v>
      </c>
      <c r="B654" t="s">
        <v>1594</v>
      </c>
      <c r="C654">
        <v>43</v>
      </c>
      <c r="D654">
        <v>3452345</v>
      </c>
      <c r="E654">
        <v>3.4523450000000002</v>
      </c>
      <c r="F654">
        <v>2039</v>
      </c>
      <c r="G654">
        <v>80287.100000000006</v>
      </c>
      <c r="H654">
        <v>521308</v>
      </c>
    </row>
    <row r="655" spans="1:8" x14ac:dyDescent="0.25">
      <c r="A655" t="s">
        <v>83</v>
      </c>
      <c r="B655" t="s">
        <v>1594</v>
      </c>
      <c r="C655">
        <v>14</v>
      </c>
      <c r="D655">
        <v>4548710</v>
      </c>
      <c r="E655">
        <v>4.5487099999999998</v>
      </c>
      <c r="F655">
        <v>11494</v>
      </c>
      <c r="G655">
        <v>324907.90000000002</v>
      </c>
      <c r="H655">
        <v>929453</v>
      </c>
    </row>
    <row r="656" spans="1:8" x14ac:dyDescent="0.25">
      <c r="A656" t="s">
        <v>84</v>
      </c>
      <c r="B656" t="s">
        <v>1594</v>
      </c>
      <c r="C656">
        <v>9</v>
      </c>
      <c r="D656">
        <v>4584806</v>
      </c>
      <c r="E656">
        <v>4.5848060000000004</v>
      </c>
      <c r="F656">
        <v>6835</v>
      </c>
      <c r="G656">
        <v>509422.9</v>
      </c>
      <c r="H656">
        <v>1406621</v>
      </c>
    </row>
    <row r="657" spans="1:8" x14ac:dyDescent="0.25">
      <c r="A657" t="s">
        <v>85</v>
      </c>
      <c r="B657" t="s">
        <v>1594</v>
      </c>
      <c r="C657">
        <v>34</v>
      </c>
      <c r="D657">
        <v>4653815</v>
      </c>
      <c r="E657">
        <v>4.6538149999999998</v>
      </c>
      <c r="F657">
        <v>6684</v>
      </c>
      <c r="G657">
        <v>136876.9</v>
      </c>
      <c r="H657">
        <v>523027</v>
      </c>
    </row>
    <row r="658" spans="1:8" x14ac:dyDescent="0.25">
      <c r="A658" t="s">
        <v>86</v>
      </c>
      <c r="B658" t="s">
        <v>1594</v>
      </c>
      <c r="C658">
        <v>9</v>
      </c>
      <c r="D658">
        <v>3003732</v>
      </c>
      <c r="E658">
        <v>3.0037319999999998</v>
      </c>
      <c r="F658">
        <v>2622</v>
      </c>
      <c r="G658">
        <v>333748</v>
      </c>
      <c r="H658">
        <v>858203</v>
      </c>
    </row>
    <row r="659" spans="1:8" x14ac:dyDescent="0.25">
      <c r="A659" t="s">
        <v>87</v>
      </c>
      <c r="B659" t="s">
        <v>1594</v>
      </c>
      <c r="C659">
        <v>11</v>
      </c>
      <c r="D659">
        <v>4006786</v>
      </c>
      <c r="E659">
        <v>4.006786</v>
      </c>
      <c r="F659">
        <v>6089</v>
      </c>
      <c r="G659">
        <v>364253.3</v>
      </c>
      <c r="H659">
        <v>923526</v>
      </c>
    </row>
    <row r="660" spans="1:8" x14ac:dyDescent="0.25">
      <c r="A660" t="s">
        <v>88</v>
      </c>
      <c r="B660" t="s">
        <v>1594</v>
      </c>
      <c r="C660">
        <v>13</v>
      </c>
      <c r="D660">
        <v>3431272</v>
      </c>
      <c r="E660">
        <v>3.4312719999999999</v>
      </c>
      <c r="F660">
        <v>2174</v>
      </c>
      <c r="G660">
        <v>263944</v>
      </c>
      <c r="H660">
        <v>880437</v>
      </c>
    </row>
    <row r="661" spans="1:8" x14ac:dyDescent="0.25">
      <c r="A661" t="s">
        <v>89</v>
      </c>
      <c r="B661" t="s">
        <v>1594</v>
      </c>
      <c r="C661">
        <v>20</v>
      </c>
      <c r="D661">
        <v>3876623</v>
      </c>
      <c r="E661">
        <v>3.8766229999999999</v>
      </c>
      <c r="F661">
        <v>2376</v>
      </c>
      <c r="G661">
        <v>193831.1</v>
      </c>
      <c r="H661">
        <v>965879</v>
      </c>
    </row>
    <row r="662" spans="1:8" x14ac:dyDescent="0.25">
      <c r="A662" t="s">
        <v>90</v>
      </c>
      <c r="B662" t="s">
        <v>1594</v>
      </c>
      <c r="C662">
        <v>12</v>
      </c>
      <c r="D662">
        <v>4688315</v>
      </c>
      <c r="E662">
        <v>4.6883150000000002</v>
      </c>
      <c r="F662">
        <v>1038</v>
      </c>
      <c r="G662">
        <v>390692.9</v>
      </c>
      <c r="H662">
        <v>1370650</v>
      </c>
    </row>
    <row r="663" spans="1:8" x14ac:dyDescent="0.25">
      <c r="A663" t="s">
        <v>91</v>
      </c>
      <c r="B663" t="s">
        <v>1594</v>
      </c>
      <c r="C663">
        <v>38</v>
      </c>
      <c r="D663">
        <v>5902080</v>
      </c>
      <c r="E663">
        <v>5.9020799999999998</v>
      </c>
      <c r="F663">
        <v>2021</v>
      </c>
      <c r="G663">
        <v>155317.9</v>
      </c>
      <c r="H663">
        <v>969740</v>
      </c>
    </row>
    <row r="664" spans="1:8" x14ac:dyDescent="0.25">
      <c r="A664" t="s">
        <v>92</v>
      </c>
      <c r="B664" t="s">
        <v>1594</v>
      </c>
      <c r="C664">
        <v>22</v>
      </c>
      <c r="D664">
        <v>3505593</v>
      </c>
      <c r="E664">
        <v>3.5055930000000002</v>
      </c>
      <c r="F664">
        <v>2856</v>
      </c>
      <c r="G664">
        <v>159345.1</v>
      </c>
      <c r="H664">
        <v>544239</v>
      </c>
    </row>
    <row r="665" spans="1:8" x14ac:dyDescent="0.25">
      <c r="A665" t="s">
        <v>93</v>
      </c>
      <c r="B665" t="s">
        <v>1594</v>
      </c>
      <c r="C665">
        <v>6</v>
      </c>
      <c r="D665">
        <v>4894533</v>
      </c>
      <c r="E665">
        <v>4.894533</v>
      </c>
      <c r="F665">
        <v>62412</v>
      </c>
      <c r="G665">
        <v>815755.5</v>
      </c>
      <c r="H665">
        <v>1972965</v>
      </c>
    </row>
    <row r="666" spans="1:8" x14ac:dyDescent="0.25">
      <c r="A666" t="s">
        <v>94</v>
      </c>
      <c r="B666" t="s">
        <v>1594</v>
      </c>
      <c r="C666">
        <v>107</v>
      </c>
      <c r="D666">
        <v>2746280</v>
      </c>
      <c r="E666">
        <v>2.7462800000000001</v>
      </c>
      <c r="F666">
        <v>2008</v>
      </c>
      <c r="G666">
        <v>25666.2</v>
      </c>
      <c r="H666">
        <v>256058</v>
      </c>
    </row>
    <row r="667" spans="1:8" x14ac:dyDescent="0.25">
      <c r="A667" t="s">
        <v>95</v>
      </c>
      <c r="B667" t="s">
        <v>1594</v>
      </c>
      <c r="C667">
        <v>4</v>
      </c>
      <c r="D667">
        <v>4053795</v>
      </c>
      <c r="E667">
        <v>4.053795</v>
      </c>
      <c r="F667">
        <v>700590</v>
      </c>
      <c r="G667">
        <v>1013448.8</v>
      </c>
      <c r="H667">
        <v>1294518</v>
      </c>
    </row>
    <row r="668" spans="1:8" x14ac:dyDescent="0.25">
      <c r="A668" t="s">
        <v>96</v>
      </c>
      <c r="B668" t="s">
        <v>1594</v>
      </c>
      <c r="C668">
        <v>15</v>
      </c>
      <c r="D668">
        <v>3592284</v>
      </c>
      <c r="E668">
        <v>3.5922839999999998</v>
      </c>
      <c r="F668">
        <v>16379</v>
      </c>
      <c r="G668">
        <v>239485.6</v>
      </c>
      <c r="H668">
        <v>784189</v>
      </c>
    </row>
    <row r="669" spans="1:8" x14ac:dyDescent="0.25">
      <c r="A669" t="s">
        <v>97</v>
      </c>
      <c r="B669" t="s">
        <v>1594</v>
      </c>
      <c r="C669">
        <v>2</v>
      </c>
      <c r="D669">
        <v>3113743</v>
      </c>
      <c r="E669">
        <v>3.1137429999999999</v>
      </c>
      <c r="F669">
        <v>187704</v>
      </c>
      <c r="G669">
        <v>1556871.5</v>
      </c>
      <c r="H669">
        <v>2926039</v>
      </c>
    </row>
    <row r="670" spans="1:8" x14ac:dyDescent="0.25">
      <c r="A670" t="s">
        <v>98</v>
      </c>
      <c r="B670" t="s">
        <v>1594</v>
      </c>
      <c r="C670">
        <v>90</v>
      </c>
      <c r="D670">
        <v>2331084</v>
      </c>
      <c r="E670">
        <v>2.3310840000000002</v>
      </c>
      <c r="F670">
        <v>2003</v>
      </c>
      <c r="G670">
        <v>25900.9</v>
      </c>
      <c r="H670">
        <v>248529</v>
      </c>
    </row>
    <row r="671" spans="1:8" x14ac:dyDescent="0.25">
      <c r="A671" t="s">
        <v>99</v>
      </c>
      <c r="B671" t="s">
        <v>1594</v>
      </c>
      <c r="C671">
        <v>37</v>
      </c>
      <c r="D671">
        <v>2964305</v>
      </c>
      <c r="E671">
        <v>2.964305</v>
      </c>
      <c r="F671">
        <v>2215</v>
      </c>
      <c r="G671">
        <v>80116.399999999994</v>
      </c>
      <c r="H671">
        <v>451829</v>
      </c>
    </row>
    <row r="672" spans="1:8" x14ac:dyDescent="0.25">
      <c r="A672" t="s">
        <v>100</v>
      </c>
      <c r="B672" t="s">
        <v>1594</v>
      </c>
      <c r="C672">
        <v>43</v>
      </c>
      <c r="D672">
        <v>3836539</v>
      </c>
      <c r="E672">
        <v>3.8365390000000001</v>
      </c>
      <c r="F672">
        <v>5832</v>
      </c>
      <c r="G672">
        <v>89221.8</v>
      </c>
      <c r="H672">
        <v>336570</v>
      </c>
    </row>
    <row r="673" spans="1:8" x14ac:dyDescent="0.25">
      <c r="A673" t="s">
        <v>101</v>
      </c>
      <c r="B673" t="s">
        <v>1594</v>
      </c>
      <c r="C673">
        <v>14</v>
      </c>
      <c r="D673">
        <v>3289527</v>
      </c>
      <c r="E673">
        <v>3.2895270000000001</v>
      </c>
      <c r="F673">
        <v>2518</v>
      </c>
      <c r="G673">
        <v>234966.2</v>
      </c>
      <c r="H673">
        <v>803442</v>
      </c>
    </row>
    <row r="674" spans="1:8" x14ac:dyDescent="0.25">
      <c r="A674" t="s">
        <v>102</v>
      </c>
      <c r="B674" t="s">
        <v>1594</v>
      </c>
      <c r="C674">
        <v>19</v>
      </c>
      <c r="D674">
        <v>4923467</v>
      </c>
      <c r="E674">
        <v>4.9234669999999996</v>
      </c>
      <c r="F674">
        <v>8701</v>
      </c>
      <c r="G674">
        <v>259129.8</v>
      </c>
      <c r="H674">
        <v>858666</v>
      </c>
    </row>
    <row r="675" spans="1:8" x14ac:dyDescent="0.25">
      <c r="A675" t="s">
        <v>103</v>
      </c>
      <c r="B675" t="s">
        <v>1594</v>
      </c>
      <c r="C675">
        <v>8</v>
      </c>
      <c r="D675">
        <v>2960466</v>
      </c>
      <c r="E675">
        <v>2.9604659999999998</v>
      </c>
      <c r="F675">
        <v>21297</v>
      </c>
      <c r="G675">
        <v>370058.3</v>
      </c>
      <c r="H675">
        <v>848789</v>
      </c>
    </row>
    <row r="676" spans="1:8" x14ac:dyDescent="0.25">
      <c r="A676" t="s">
        <v>104</v>
      </c>
      <c r="B676" t="s">
        <v>1594</v>
      </c>
      <c r="C676">
        <v>30</v>
      </c>
      <c r="D676">
        <v>2044408</v>
      </c>
      <c r="E676">
        <v>2.0444079999999998</v>
      </c>
      <c r="F676">
        <v>10401</v>
      </c>
      <c r="G676">
        <v>68146.899999999994</v>
      </c>
      <c r="H676">
        <v>291997</v>
      </c>
    </row>
    <row r="677" spans="1:8" x14ac:dyDescent="0.25">
      <c r="A677" t="s">
        <v>105</v>
      </c>
      <c r="B677" t="s">
        <v>1594</v>
      </c>
      <c r="C677">
        <v>11</v>
      </c>
      <c r="D677">
        <v>2242207</v>
      </c>
      <c r="E677">
        <v>2.2422070000000001</v>
      </c>
      <c r="F677">
        <v>14561</v>
      </c>
      <c r="G677">
        <v>203837</v>
      </c>
      <c r="H677">
        <v>997037</v>
      </c>
    </row>
    <row r="678" spans="1:8" x14ac:dyDescent="0.25">
      <c r="A678" t="s">
        <v>106</v>
      </c>
      <c r="B678" t="s">
        <v>1594</v>
      </c>
      <c r="C678">
        <v>18</v>
      </c>
      <c r="D678">
        <v>4290378</v>
      </c>
      <c r="E678">
        <v>4.2903779999999996</v>
      </c>
      <c r="F678">
        <v>9710</v>
      </c>
      <c r="G678">
        <v>238354.3</v>
      </c>
      <c r="H678">
        <v>1293195</v>
      </c>
    </row>
    <row r="679" spans="1:8" x14ac:dyDescent="0.25">
      <c r="A679" t="s">
        <v>107</v>
      </c>
      <c r="B679" t="s">
        <v>1594</v>
      </c>
      <c r="C679">
        <v>84</v>
      </c>
      <c r="D679">
        <v>2910191</v>
      </c>
      <c r="E679">
        <v>2.9101910000000002</v>
      </c>
      <c r="F679">
        <v>2003</v>
      </c>
      <c r="G679">
        <v>34645.1</v>
      </c>
      <c r="H679">
        <v>355166</v>
      </c>
    </row>
    <row r="680" spans="1:8" x14ac:dyDescent="0.25">
      <c r="A680" t="s">
        <v>108</v>
      </c>
      <c r="B680" t="s">
        <v>1594</v>
      </c>
      <c r="C680">
        <v>64</v>
      </c>
      <c r="D680">
        <v>2710442</v>
      </c>
      <c r="E680">
        <v>2.710442</v>
      </c>
      <c r="F680">
        <v>2012</v>
      </c>
      <c r="G680">
        <v>42350.7</v>
      </c>
      <c r="H680">
        <v>247075</v>
      </c>
    </row>
    <row r="681" spans="1:8" x14ac:dyDescent="0.25">
      <c r="A681" t="s">
        <v>109</v>
      </c>
      <c r="B681" t="s">
        <v>1594</v>
      </c>
      <c r="C681">
        <v>51</v>
      </c>
      <c r="D681">
        <v>2772666</v>
      </c>
      <c r="E681">
        <v>2.7726660000000001</v>
      </c>
      <c r="F681">
        <v>2080</v>
      </c>
      <c r="G681">
        <v>54366</v>
      </c>
      <c r="H681">
        <v>301577</v>
      </c>
    </row>
    <row r="682" spans="1:8" x14ac:dyDescent="0.25">
      <c r="A682" t="s">
        <v>110</v>
      </c>
      <c r="B682" t="s">
        <v>1594</v>
      </c>
      <c r="C682">
        <v>14</v>
      </c>
      <c r="D682">
        <v>2675789</v>
      </c>
      <c r="E682">
        <v>2.675789</v>
      </c>
      <c r="F682">
        <v>52906</v>
      </c>
      <c r="G682">
        <v>191127.8</v>
      </c>
      <c r="H682">
        <v>373971</v>
      </c>
    </row>
    <row r="683" spans="1:8" x14ac:dyDescent="0.25">
      <c r="A683" t="s">
        <v>111</v>
      </c>
      <c r="B683" t="s">
        <v>1594</v>
      </c>
      <c r="C683">
        <v>63</v>
      </c>
      <c r="D683">
        <v>3446824</v>
      </c>
      <c r="E683">
        <v>3.4468239999999999</v>
      </c>
      <c r="F683">
        <v>2094</v>
      </c>
      <c r="G683">
        <v>54711.5</v>
      </c>
      <c r="H683">
        <v>676923</v>
      </c>
    </row>
    <row r="684" spans="1:8" x14ac:dyDescent="0.25">
      <c r="A684" t="s">
        <v>112</v>
      </c>
      <c r="B684" t="s">
        <v>1594</v>
      </c>
      <c r="C684">
        <v>5</v>
      </c>
      <c r="D684">
        <v>2930815</v>
      </c>
      <c r="E684">
        <v>2.9308149999999999</v>
      </c>
      <c r="F684">
        <v>120827</v>
      </c>
      <c r="G684">
        <v>586163</v>
      </c>
      <c r="H684">
        <v>1192142</v>
      </c>
    </row>
    <row r="685" spans="1:8" x14ac:dyDescent="0.25">
      <c r="A685" t="s">
        <v>113</v>
      </c>
      <c r="B685" t="s">
        <v>1594</v>
      </c>
      <c r="C685">
        <v>3</v>
      </c>
      <c r="D685">
        <v>3381931</v>
      </c>
      <c r="E685">
        <v>3.3819309999999998</v>
      </c>
      <c r="F685">
        <v>45261</v>
      </c>
      <c r="G685">
        <v>1127310.3</v>
      </c>
      <c r="H685">
        <v>3016294</v>
      </c>
    </row>
    <row r="686" spans="1:8" x14ac:dyDescent="0.25">
      <c r="A686" t="s">
        <v>114</v>
      </c>
      <c r="B686" t="s">
        <v>1594</v>
      </c>
      <c r="C686">
        <v>5</v>
      </c>
      <c r="D686">
        <v>2734535</v>
      </c>
      <c r="E686">
        <v>2.7345350000000002</v>
      </c>
      <c r="F686">
        <v>71461</v>
      </c>
      <c r="G686">
        <v>546907</v>
      </c>
      <c r="H686">
        <v>1462515</v>
      </c>
    </row>
    <row r="687" spans="1:8" x14ac:dyDescent="0.25">
      <c r="A687" t="s">
        <v>115</v>
      </c>
      <c r="B687" t="s">
        <v>1594</v>
      </c>
      <c r="C687">
        <v>8</v>
      </c>
      <c r="D687">
        <v>3104370</v>
      </c>
      <c r="E687">
        <v>3.1043699999999999</v>
      </c>
      <c r="F687">
        <v>158598</v>
      </c>
      <c r="G687">
        <v>388046.3</v>
      </c>
      <c r="H687">
        <v>654837</v>
      </c>
    </row>
    <row r="688" spans="1:8" x14ac:dyDescent="0.25">
      <c r="A688" t="s">
        <v>116</v>
      </c>
      <c r="B688" t="s">
        <v>1594</v>
      </c>
      <c r="C688">
        <v>2</v>
      </c>
      <c r="D688">
        <v>2550333</v>
      </c>
      <c r="E688">
        <v>2.5503330000000002</v>
      </c>
      <c r="F688">
        <v>1033693</v>
      </c>
      <c r="G688">
        <v>1275166.5</v>
      </c>
      <c r="H688">
        <v>1516640</v>
      </c>
    </row>
    <row r="689" spans="1:8" x14ac:dyDescent="0.25">
      <c r="A689" t="s">
        <v>117</v>
      </c>
      <c r="B689" t="s">
        <v>1594</v>
      </c>
      <c r="C689">
        <v>28</v>
      </c>
      <c r="D689">
        <v>2184728</v>
      </c>
      <c r="E689">
        <v>2.1847279999999998</v>
      </c>
      <c r="F689">
        <v>9148</v>
      </c>
      <c r="G689">
        <v>78026</v>
      </c>
      <c r="H689">
        <v>245923</v>
      </c>
    </row>
    <row r="690" spans="1:8" x14ac:dyDescent="0.25">
      <c r="A690" t="s">
        <v>118</v>
      </c>
      <c r="B690" t="s">
        <v>1594</v>
      </c>
      <c r="C690">
        <v>215</v>
      </c>
      <c r="D690">
        <v>2282583</v>
      </c>
      <c r="E690">
        <v>2.2825829999999998</v>
      </c>
      <c r="F690">
        <v>2007</v>
      </c>
      <c r="G690">
        <v>10616.7</v>
      </c>
      <c r="H690">
        <v>170095</v>
      </c>
    </row>
    <row r="691" spans="1:8" x14ac:dyDescent="0.25">
      <c r="A691" t="s">
        <v>119</v>
      </c>
      <c r="B691" t="s">
        <v>1594</v>
      </c>
      <c r="C691">
        <v>32</v>
      </c>
      <c r="D691">
        <v>2216849</v>
      </c>
      <c r="E691">
        <v>2.2168489999999998</v>
      </c>
      <c r="F691">
        <v>9333</v>
      </c>
      <c r="G691">
        <v>69276.5</v>
      </c>
      <c r="H691">
        <v>179595</v>
      </c>
    </row>
    <row r="692" spans="1:8" x14ac:dyDescent="0.25">
      <c r="A692" t="s">
        <v>120</v>
      </c>
      <c r="B692" t="s">
        <v>1594</v>
      </c>
      <c r="C692">
        <v>21</v>
      </c>
      <c r="D692">
        <v>2197504</v>
      </c>
      <c r="E692">
        <v>2.1975039999999999</v>
      </c>
      <c r="F692">
        <v>2968</v>
      </c>
      <c r="G692">
        <v>104643</v>
      </c>
      <c r="H692">
        <v>291120</v>
      </c>
    </row>
    <row r="693" spans="1:8" x14ac:dyDescent="0.25">
      <c r="A693" t="s">
        <v>121</v>
      </c>
      <c r="B693" t="s">
        <v>1594</v>
      </c>
      <c r="C693">
        <v>8</v>
      </c>
      <c r="D693">
        <v>2242144</v>
      </c>
      <c r="E693">
        <v>2.2421440000000001</v>
      </c>
      <c r="F693">
        <v>9579</v>
      </c>
      <c r="G693">
        <v>280268</v>
      </c>
      <c r="H693">
        <v>679821</v>
      </c>
    </row>
    <row r="694" spans="1:8" x14ac:dyDescent="0.25">
      <c r="A694" t="s">
        <v>122</v>
      </c>
      <c r="B694" t="s">
        <v>1594</v>
      </c>
      <c r="C694">
        <v>18</v>
      </c>
      <c r="D694">
        <v>2591984</v>
      </c>
      <c r="E694">
        <v>2.5919840000000001</v>
      </c>
      <c r="F694">
        <v>2158</v>
      </c>
      <c r="G694">
        <v>143999.1</v>
      </c>
      <c r="H694">
        <v>783663</v>
      </c>
    </row>
    <row r="695" spans="1:8" x14ac:dyDescent="0.25">
      <c r="A695" t="s">
        <v>123</v>
      </c>
      <c r="B695" t="s">
        <v>1594</v>
      </c>
      <c r="C695">
        <v>5</v>
      </c>
      <c r="D695">
        <v>2303984</v>
      </c>
      <c r="E695">
        <v>2.3039839999999998</v>
      </c>
      <c r="F695">
        <v>196377</v>
      </c>
      <c r="G695">
        <v>460796.8</v>
      </c>
      <c r="H695">
        <v>995132</v>
      </c>
    </row>
    <row r="696" spans="1:8" x14ac:dyDescent="0.25">
      <c r="A696" t="s">
        <v>124</v>
      </c>
      <c r="B696" t="s">
        <v>1594</v>
      </c>
      <c r="C696">
        <v>6</v>
      </c>
      <c r="D696">
        <v>2436806</v>
      </c>
      <c r="E696">
        <v>2.4368059999999998</v>
      </c>
      <c r="F696">
        <v>2097</v>
      </c>
      <c r="G696">
        <v>406134.3</v>
      </c>
      <c r="H696">
        <v>782008</v>
      </c>
    </row>
    <row r="697" spans="1:8" x14ac:dyDescent="0.25">
      <c r="A697" t="s">
        <v>125</v>
      </c>
      <c r="B697" t="s">
        <v>1594</v>
      </c>
      <c r="C697">
        <v>3</v>
      </c>
      <c r="D697">
        <v>3644924</v>
      </c>
      <c r="E697">
        <v>3.6449240000000001</v>
      </c>
      <c r="F697">
        <v>105186</v>
      </c>
      <c r="G697">
        <v>1214974.7</v>
      </c>
      <c r="H697">
        <v>2795579</v>
      </c>
    </row>
    <row r="698" spans="1:8" x14ac:dyDescent="0.25">
      <c r="A698" t="s">
        <v>126</v>
      </c>
      <c r="B698" t="s">
        <v>1594</v>
      </c>
      <c r="C698">
        <v>20</v>
      </c>
      <c r="D698">
        <v>2069455</v>
      </c>
      <c r="E698">
        <v>2.069455</v>
      </c>
      <c r="F698">
        <v>5923</v>
      </c>
      <c r="G698">
        <v>103472.8</v>
      </c>
      <c r="H698">
        <v>521021</v>
      </c>
    </row>
    <row r="699" spans="1:8" x14ac:dyDescent="0.25">
      <c r="A699" t="s">
        <v>127</v>
      </c>
      <c r="B699" t="s">
        <v>1594</v>
      </c>
      <c r="C699">
        <v>11</v>
      </c>
      <c r="D699">
        <v>2036672</v>
      </c>
      <c r="E699">
        <v>2.0366719999999998</v>
      </c>
      <c r="F699">
        <v>52501</v>
      </c>
      <c r="G699">
        <v>185152</v>
      </c>
      <c r="H699">
        <v>512488</v>
      </c>
    </row>
    <row r="700" spans="1:8" x14ac:dyDescent="0.25">
      <c r="A700" t="s">
        <v>128</v>
      </c>
      <c r="B700" t="s">
        <v>1594</v>
      </c>
      <c r="C700">
        <v>38</v>
      </c>
      <c r="D700">
        <v>2396836</v>
      </c>
      <c r="E700">
        <v>2.396836</v>
      </c>
      <c r="F700">
        <v>2038</v>
      </c>
      <c r="G700">
        <v>63074.6</v>
      </c>
      <c r="H700">
        <v>652790</v>
      </c>
    </row>
    <row r="701" spans="1:8" x14ac:dyDescent="0.25">
      <c r="A701" t="s">
        <v>129</v>
      </c>
      <c r="B701" t="s">
        <v>1594</v>
      </c>
      <c r="C701">
        <v>21</v>
      </c>
      <c r="D701">
        <v>2471927</v>
      </c>
      <c r="E701">
        <v>2.471927</v>
      </c>
      <c r="F701">
        <v>15823</v>
      </c>
      <c r="G701">
        <v>117710.8</v>
      </c>
      <c r="H701">
        <v>357399</v>
      </c>
    </row>
    <row r="702" spans="1:8" x14ac:dyDescent="0.25">
      <c r="A702" t="s">
        <v>130</v>
      </c>
      <c r="B702" t="s">
        <v>1594</v>
      </c>
      <c r="C702">
        <v>5</v>
      </c>
      <c r="D702">
        <v>2244765</v>
      </c>
      <c r="E702">
        <v>2.2447650000000001</v>
      </c>
      <c r="F702">
        <v>2099</v>
      </c>
      <c r="G702">
        <v>448953</v>
      </c>
      <c r="H702">
        <v>693096</v>
      </c>
    </row>
    <row r="703" spans="1:8" x14ac:dyDescent="0.25">
      <c r="A703" t="s">
        <v>131</v>
      </c>
      <c r="B703" t="s">
        <v>1594</v>
      </c>
      <c r="C703">
        <v>3</v>
      </c>
      <c r="D703">
        <v>2120797</v>
      </c>
      <c r="E703">
        <v>2.120797</v>
      </c>
      <c r="F703">
        <v>6225</v>
      </c>
      <c r="G703">
        <v>706932.3</v>
      </c>
      <c r="H703">
        <v>1893633</v>
      </c>
    </row>
    <row r="704" spans="1:8" x14ac:dyDescent="0.25">
      <c r="A704" t="s">
        <v>132</v>
      </c>
      <c r="B704" t="s">
        <v>1594</v>
      </c>
      <c r="C704">
        <v>9</v>
      </c>
      <c r="D704">
        <v>2492913</v>
      </c>
      <c r="E704">
        <v>2.4929130000000002</v>
      </c>
      <c r="F704">
        <v>5305</v>
      </c>
      <c r="G704">
        <v>276990.3</v>
      </c>
      <c r="H704">
        <v>683816</v>
      </c>
    </row>
    <row r="705" spans="1:8" x14ac:dyDescent="0.25">
      <c r="A705" t="s">
        <v>133</v>
      </c>
      <c r="B705" t="s">
        <v>1594</v>
      </c>
      <c r="C705">
        <v>2</v>
      </c>
      <c r="D705">
        <v>2293353</v>
      </c>
      <c r="E705">
        <v>2.2933530000000002</v>
      </c>
      <c r="F705">
        <v>1133992</v>
      </c>
      <c r="G705">
        <v>1146676.5</v>
      </c>
      <c r="H705">
        <v>1159361</v>
      </c>
    </row>
    <row r="706" spans="1:8" x14ac:dyDescent="0.25">
      <c r="A706" t="s">
        <v>134</v>
      </c>
      <c r="B706" t="s">
        <v>1594</v>
      </c>
      <c r="C706">
        <v>6</v>
      </c>
      <c r="D706">
        <v>3660134</v>
      </c>
      <c r="E706">
        <v>3.6601340000000002</v>
      </c>
      <c r="F706">
        <v>43669</v>
      </c>
      <c r="G706">
        <v>610022.30000000005</v>
      </c>
      <c r="H706">
        <v>1144827</v>
      </c>
    </row>
    <row r="707" spans="1:8" x14ac:dyDescent="0.25">
      <c r="A707" t="s">
        <v>135</v>
      </c>
      <c r="B707" t="s">
        <v>1594</v>
      </c>
      <c r="C707">
        <v>8</v>
      </c>
      <c r="D707">
        <v>2849380</v>
      </c>
      <c r="E707">
        <v>2.84938</v>
      </c>
      <c r="F707">
        <v>3665</v>
      </c>
      <c r="G707">
        <v>356172.5</v>
      </c>
      <c r="H707">
        <v>1787166</v>
      </c>
    </row>
    <row r="708" spans="1:8" x14ac:dyDescent="0.25">
      <c r="A708" t="s">
        <v>136</v>
      </c>
      <c r="B708" t="s">
        <v>1594</v>
      </c>
      <c r="C708">
        <v>6</v>
      </c>
      <c r="D708">
        <v>2332333</v>
      </c>
      <c r="E708">
        <v>2.3323330000000002</v>
      </c>
      <c r="F708">
        <v>11601</v>
      </c>
      <c r="G708">
        <v>388722.2</v>
      </c>
      <c r="H708">
        <v>1196176</v>
      </c>
    </row>
    <row r="709" spans="1:8" x14ac:dyDescent="0.25">
      <c r="A709" t="s">
        <v>137</v>
      </c>
      <c r="B709" t="s">
        <v>1594</v>
      </c>
      <c r="C709">
        <v>3</v>
      </c>
      <c r="D709">
        <v>2267992</v>
      </c>
      <c r="E709">
        <v>2.267992</v>
      </c>
      <c r="F709">
        <v>568742</v>
      </c>
      <c r="G709">
        <v>755997.3</v>
      </c>
      <c r="H709">
        <v>1130099</v>
      </c>
    </row>
    <row r="710" spans="1:8" x14ac:dyDescent="0.25">
      <c r="A710" t="s">
        <v>138</v>
      </c>
      <c r="B710" t="s">
        <v>1594</v>
      </c>
      <c r="C710">
        <v>4</v>
      </c>
      <c r="D710">
        <v>2343135</v>
      </c>
      <c r="E710">
        <v>2.3431350000000002</v>
      </c>
      <c r="F710">
        <v>24342</v>
      </c>
      <c r="G710">
        <v>585783.80000000005</v>
      </c>
      <c r="H710">
        <v>1370970</v>
      </c>
    </row>
    <row r="711" spans="1:8" x14ac:dyDescent="0.25">
      <c r="A711" t="s">
        <v>139</v>
      </c>
      <c r="B711" t="s">
        <v>1594</v>
      </c>
      <c r="C711">
        <v>20</v>
      </c>
      <c r="D711">
        <v>5009070</v>
      </c>
      <c r="E711">
        <v>5.0090700000000004</v>
      </c>
      <c r="F711">
        <v>7840</v>
      </c>
      <c r="G711">
        <v>250453.5</v>
      </c>
      <c r="H711">
        <v>451501</v>
      </c>
    </row>
    <row r="712" spans="1:8" x14ac:dyDescent="0.25">
      <c r="A712" t="s">
        <v>140</v>
      </c>
      <c r="B712" t="s">
        <v>1594</v>
      </c>
      <c r="C712">
        <v>12</v>
      </c>
      <c r="D712">
        <v>4679512</v>
      </c>
      <c r="E712">
        <v>4.6795119999999999</v>
      </c>
      <c r="F712">
        <v>2234</v>
      </c>
      <c r="G712">
        <v>389959.3</v>
      </c>
      <c r="H712">
        <v>2267138</v>
      </c>
    </row>
    <row r="713" spans="1:8" x14ac:dyDescent="0.25">
      <c r="A713" t="s">
        <v>141</v>
      </c>
      <c r="B713" t="s">
        <v>1594</v>
      </c>
      <c r="C713">
        <v>7</v>
      </c>
      <c r="D713">
        <v>4375036</v>
      </c>
      <c r="E713">
        <v>4.3750359999999997</v>
      </c>
      <c r="F713">
        <v>22980</v>
      </c>
      <c r="G713">
        <v>625005.1</v>
      </c>
      <c r="H713">
        <v>1333149</v>
      </c>
    </row>
    <row r="714" spans="1:8" x14ac:dyDescent="0.25">
      <c r="A714" t="s">
        <v>142</v>
      </c>
      <c r="B714" t="s">
        <v>1594</v>
      </c>
      <c r="C714">
        <v>72</v>
      </c>
      <c r="D714">
        <v>3914527</v>
      </c>
      <c r="E714">
        <v>3.9145270000000001</v>
      </c>
      <c r="F714">
        <v>2004</v>
      </c>
      <c r="G714">
        <v>54368.4</v>
      </c>
      <c r="H714">
        <v>1475591</v>
      </c>
    </row>
    <row r="715" spans="1:8" x14ac:dyDescent="0.25">
      <c r="A715" t="s">
        <v>143</v>
      </c>
      <c r="B715" t="s">
        <v>1594</v>
      </c>
      <c r="C715">
        <v>14</v>
      </c>
      <c r="D715">
        <v>3982484</v>
      </c>
      <c r="E715">
        <v>3.9824839999999999</v>
      </c>
      <c r="F715">
        <v>39434</v>
      </c>
      <c r="G715">
        <v>284463.09999999998</v>
      </c>
      <c r="H715">
        <v>782804</v>
      </c>
    </row>
    <row r="716" spans="1:8" x14ac:dyDescent="0.25">
      <c r="A716" t="s">
        <v>144</v>
      </c>
      <c r="B716" t="s">
        <v>1594</v>
      </c>
      <c r="C716">
        <v>12</v>
      </c>
      <c r="D716">
        <v>6900742</v>
      </c>
      <c r="E716">
        <v>6.9007420000000002</v>
      </c>
      <c r="F716">
        <v>13993</v>
      </c>
      <c r="G716">
        <v>575061.80000000005</v>
      </c>
      <c r="H716">
        <v>1888768</v>
      </c>
    </row>
    <row r="717" spans="1:8" x14ac:dyDescent="0.25">
      <c r="A717" t="s">
        <v>145</v>
      </c>
      <c r="B717" t="s">
        <v>1594</v>
      </c>
      <c r="C717">
        <v>101</v>
      </c>
      <c r="D717">
        <v>3032271</v>
      </c>
      <c r="E717">
        <v>3.0322710000000002</v>
      </c>
      <c r="F717">
        <v>2002</v>
      </c>
      <c r="G717">
        <v>30022.5</v>
      </c>
      <c r="H717">
        <v>203567</v>
      </c>
    </row>
    <row r="718" spans="1:8" x14ac:dyDescent="0.25">
      <c r="A718" t="s">
        <v>146</v>
      </c>
      <c r="B718" t="s">
        <v>1594</v>
      </c>
      <c r="C718">
        <v>11</v>
      </c>
      <c r="D718">
        <v>3781921</v>
      </c>
      <c r="E718">
        <v>3.7819210000000001</v>
      </c>
      <c r="F718">
        <v>50634</v>
      </c>
      <c r="G718">
        <v>343811</v>
      </c>
      <c r="H718">
        <v>1123454</v>
      </c>
    </row>
    <row r="719" spans="1:8" x14ac:dyDescent="0.25">
      <c r="A719" t="s">
        <v>147</v>
      </c>
      <c r="B719" t="s">
        <v>1594</v>
      </c>
      <c r="C719">
        <v>37</v>
      </c>
      <c r="D719">
        <v>5452890</v>
      </c>
      <c r="E719">
        <v>5.45289</v>
      </c>
      <c r="F719">
        <v>4535</v>
      </c>
      <c r="G719">
        <v>147375.4</v>
      </c>
      <c r="H719">
        <v>1004721</v>
      </c>
    </row>
    <row r="720" spans="1:8" x14ac:dyDescent="0.25">
      <c r="A720" t="s">
        <v>148</v>
      </c>
      <c r="B720" t="s">
        <v>1594</v>
      </c>
      <c r="C720">
        <v>17</v>
      </c>
      <c r="D720">
        <v>6967393</v>
      </c>
      <c r="E720">
        <v>6.9673930000000004</v>
      </c>
      <c r="F720">
        <v>35072</v>
      </c>
      <c r="G720">
        <v>409846.6</v>
      </c>
      <c r="H720">
        <v>1320818</v>
      </c>
    </row>
    <row r="721" spans="1:8" x14ac:dyDescent="0.25">
      <c r="A721" t="s">
        <v>149</v>
      </c>
      <c r="B721" t="s">
        <v>1594</v>
      </c>
      <c r="C721">
        <v>92</v>
      </c>
      <c r="D721">
        <v>3061244</v>
      </c>
      <c r="E721">
        <v>3.0612439999999999</v>
      </c>
      <c r="F721">
        <v>2026</v>
      </c>
      <c r="G721">
        <v>33274.400000000001</v>
      </c>
      <c r="H721">
        <v>353592</v>
      </c>
    </row>
    <row r="722" spans="1:8" x14ac:dyDescent="0.25">
      <c r="A722" t="s">
        <v>150</v>
      </c>
      <c r="B722" t="s">
        <v>1594</v>
      </c>
      <c r="C722">
        <v>18</v>
      </c>
      <c r="D722">
        <v>3637855</v>
      </c>
      <c r="E722">
        <v>3.6378550000000001</v>
      </c>
      <c r="F722">
        <v>2151</v>
      </c>
      <c r="G722">
        <v>202103.1</v>
      </c>
      <c r="H722">
        <v>2180874</v>
      </c>
    </row>
    <row r="723" spans="1:8" x14ac:dyDescent="0.25">
      <c r="A723" t="s">
        <v>151</v>
      </c>
      <c r="B723" t="s">
        <v>1594</v>
      </c>
      <c r="C723">
        <v>6</v>
      </c>
      <c r="D723">
        <v>3900766</v>
      </c>
      <c r="E723">
        <v>3.900766</v>
      </c>
      <c r="F723">
        <v>19126</v>
      </c>
      <c r="G723">
        <v>650127.69999999995</v>
      </c>
      <c r="H723">
        <v>1758804</v>
      </c>
    </row>
    <row r="724" spans="1:8" x14ac:dyDescent="0.25">
      <c r="A724" t="s">
        <v>152</v>
      </c>
      <c r="B724" t="s">
        <v>1594</v>
      </c>
      <c r="C724">
        <v>3</v>
      </c>
      <c r="D724">
        <v>3973095</v>
      </c>
      <c r="E724">
        <v>3.9730949999999998</v>
      </c>
      <c r="F724">
        <v>613939</v>
      </c>
      <c r="G724">
        <v>1324365</v>
      </c>
      <c r="H724">
        <v>2539659</v>
      </c>
    </row>
    <row r="725" spans="1:8" x14ac:dyDescent="0.25">
      <c r="A725" t="s">
        <v>153</v>
      </c>
      <c r="B725" t="s">
        <v>1594</v>
      </c>
      <c r="C725">
        <v>3</v>
      </c>
      <c r="D725">
        <v>2939594</v>
      </c>
      <c r="E725">
        <v>2.939594</v>
      </c>
      <c r="F725">
        <v>66794</v>
      </c>
      <c r="G725">
        <v>979864.7</v>
      </c>
      <c r="H725">
        <v>2323423</v>
      </c>
    </row>
    <row r="726" spans="1:8" x14ac:dyDescent="0.25">
      <c r="A726" t="s">
        <v>154</v>
      </c>
      <c r="B726" t="s">
        <v>1594</v>
      </c>
      <c r="C726">
        <v>7</v>
      </c>
      <c r="D726">
        <v>497224</v>
      </c>
      <c r="E726">
        <v>0.497224</v>
      </c>
      <c r="F726">
        <v>22150</v>
      </c>
      <c r="G726">
        <v>71032</v>
      </c>
      <c r="H726">
        <v>103706</v>
      </c>
    </row>
    <row r="727" spans="1:8" x14ac:dyDescent="0.25">
      <c r="A727" t="s">
        <v>461</v>
      </c>
      <c r="B727" t="s">
        <v>1594</v>
      </c>
      <c r="C727">
        <v>8</v>
      </c>
      <c r="D727">
        <v>2817300</v>
      </c>
      <c r="E727">
        <v>2.8172999999999999</v>
      </c>
      <c r="F727">
        <v>2225</v>
      </c>
      <c r="G727">
        <v>352162.5</v>
      </c>
      <c r="H727">
        <v>890695</v>
      </c>
    </row>
    <row r="728" spans="1:8" x14ac:dyDescent="0.25">
      <c r="A728" t="s">
        <v>462</v>
      </c>
      <c r="B728" t="s">
        <v>1594</v>
      </c>
      <c r="C728">
        <v>35</v>
      </c>
      <c r="D728">
        <v>1436823</v>
      </c>
      <c r="E728">
        <v>1.436823</v>
      </c>
      <c r="F728">
        <v>2387</v>
      </c>
      <c r="G728">
        <v>41052.1</v>
      </c>
      <c r="H728">
        <v>142936</v>
      </c>
    </row>
    <row r="729" spans="1:8" x14ac:dyDescent="0.25">
      <c r="A729" t="s">
        <v>463</v>
      </c>
      <c r="B729" t="s">
        <v>1594</v>
      </c>
      <c r="C729">
        <v>82</v>
      </c>
      <c r="D729">
        <v>2464253</v>
      </c>
      <c r="E729">
        <v>2.4642529999999998</v>
      </c>
      <c r="F729">
        <v>2015</v>
      </c>
      <c r="G729">
        <v>30051.9</v>
      </c>
      <c r="H729">
        <v>154066</v>
      </c>
    </row>
    <row r="730" spans="1:8" x14ac:dyDescent="0.25">
      <c r="A730" t="s">
        <v>464</v>
      </c>
      <c r="B730" t="s">
        <v>1594</v>
      </c>
      <c r="C730">
        <v>42</v>
      </c>
      <c r="D730">
        <v>2027145</v>
      </c>
      <c r="E730">
        <v>2.027145</v>
      </c>
      <c r="F730">
        <v>4334</v>
      </c>
      <c r="G730">
        <v>48265.4</v>
      </c>
      <c r="H730">
        <v>197986</v>
      </c>
    </row>
    <row r="731" spans="1:8" x14ac:dyDescent="0.25">
      <c r="A731" t="s">
        <v>465</v>
      </c>
      <c r="B731" t="s">
        <v>1594</v>
      </c>
      <c r="C731">
        <v>76</v>
      </c>
      <c r="D731">
        <v>1928320</v>
      </c>
      <c r="E731">
        <v>1.92832</v>
      </c>
      <c r="F731">
        <v>2003</v>
      </c>
      <c r="G731">
        <v>25372.6</v>
      </c>
      <c r="H731">
        <v>156071</v>
      </c>
    </row>
    <row r="732" spans="1:8" x14ac:dyDescent="0.25">
      <c r="A732" t="s">
        <v>466</v>
      </c>
      <c r="B732" t="s">
        <v>1594</v>
      </c>
      <c r="C732">
        <v>55</v>
      </c>
      <c r="D732">
        <v>3224419</v>
      </c>
      <c r="E732">
        <v>3.2244190000000001</v>
      </c>
      <c r="F732">
        <v>2605</v>
      </c>
      <c r="G732">
        <v>58625.8</v>
      </c>
      <c r="H732">
        <v>347478</v>
      </c>
    </row>
    <row r="733" spans="1:8" x14ac:dyDescent="0.25">
      <c r="A733" t="s">
        <v>467</v>
      </c>
      <c r="B733" t="s">
        <v>1594</v>
      </c>
      <c r="C733">
        <v>63</v>
      </c>
      <c r="D733">
        <v>3424049</v>
      </c>
      <c r="E733">
        <v>3.4240490000000001</v>
      </c>
      <c r="F733">
        <v>2020</v>
      </c>
      <c r="G733">
        <v>54350</v>
      </c>
      <c r="H733">
        <v>293489</v>
      </c>
    </row>
    <row r="734" spans="1:8" x14ac:dyDescent="0.25">
      <c r="A734" t="s">
        <v>468</v>
      </c>
      <c r="B734" t="s">
        <v>1594</v>
      </c>
      <c r="C734">
        <v>50</v>
      </c>
      <c r="D734">
        <v>2467642</v>
      </c>
      <c r="E734">
        <v>2.4676420000000001</v>
      </c>
      <c r="F734">
        <v>3804</v>
      </c>
      <c r="G734">
        <v>49352.800000000003</v>
      </c>
      <c r="H734">
        <v>207366</v>
      </c>
    </row>
    <row r="735" spans="1:8" x14ac:dyDescent="0.25">
      <c r="A735" t="s">
        <v>469</v>
      </c>
      <c r="B735" t="s">
        <v>1594</v>
      </c>
      <c r="C735">
        <v>19</v>
      </c>
      <c r="D735">
        <v>2505776</v>
      </c>
      <c r="E735">
        <v>2.505776</v>
      </c>
      <c r="F735">
        <v>26384</v>
      </c>
      <c r="G735">
        <v>131882.9</v>
      </c>
      <c r="H735">
        <v>305038</v>
      </c>
    </row>
    <row r="736" spans="1:8" x14ac:dyDescent="0.25">
      <c r="A736" t="s">
        <v>470</v>
      </c>
      <c r="B736" t="s">
        <v>1594</v>
      </c>
      <c r="C736">
        <v>31</v>
      </c>
      <c r="D736">
        <v>2055520</v>
      </c>
      <c r="E736">
        <v>2.05552</v>
      </c>
      <c r="F736">
        <v>8473</v>
      </c>
      <c r="G736">
        <v>66307.100000000006</v>
      </c>
      <c r="H736">
        <v>178381</v>
      </c>
    </row>
    <row r="737" spans="1:8" x14ac:dyDescent="0.25">
      <c r="A737" t="s">
        <v>471</v>
      </c>
      <c r="B737" t="s">
        <v>1594</v>
      </c>
      <c r="C737">
        <v>33</v>
      </c>
      <c r="D737">
        <v>2202261</v>
      </c>
      <c r="E737">
        <v>2.202261</v>
      </c>
      <c r="F737">
        <v>9388</v>
      </c>
      <c r="G737">
        <v>66735.199999999997</v>
      </c>
      <c r="H737">
        <v>334710</v>
      </c>
    </row>
    <row r="738" spans="1:8" x14ac:dyDescent="0.25">
      <c r="A738" t="s">
        <v>472</v>
      </c>
      <c r="B738" t="s">
        <v>1594</v>
      </c>
      <c r="C738">
        <v>45</v>
      </c>
      <c r="D738">
        <v>2401833</v>
      </c>
      <c r="E738">
        <v>2.4018329999999999</v>
      </c>
      <c r="F738">
        <v>2077</v>
      </c>
      <c r="G738">
        <v>53374.1</v>
      </c>
      <c r="H738">
        <v>196463</v>
      </c>
    </row>
    <row r="739" spans="1:8" x14ac:dyDescent="0.25">
      <c r="A739" t="s">
        <v>473</v>
      </c>
      <c r="B739" t="s">
        <v>1594</v>
      </c>
      <c r="C739">
        <v>36</v>
      </c>
      <c r="D739">
        <v>2727014</v>
      </c>
      <c r="E739">
        <v>2.727014</v>
      </c>
      <c r="F739">
        <v>3074</v>
      </c>
      <c r="G739">
        <v>75750.399999999994</v>
      </c>
      <c r="H739">
        <v>248735</v>
      </c>
    </row>
    <row r="740" spans="1:8" x14ac:dyDescent="0.25">
      <c r="A740" t="s">
        <v>474</v>
      </c>
      <c r="B740" t="s">
        <v>1594</v>
      </c>
      <c r="C740">
        <v>27</v>
      </c>
      <c r="D740">
        <v>2508989</v>
      </c>
      <c r="E740">
        <v>2.5089890000000001</v>
      </c>
      <c r="F740">
        <v>4064</v>
      </c>
      <c r="G740">
        <v>92925.5</v>
      </c>
      <c r="H740">
        <v>433793</v>
      </c>
    </row>
    <row r="741" spans="1:8" x14ac:dyDescent="0.25">
      <c r="A741" t="s">
        <v>475</v>
      </c>
      <c r="B741" t="s">
        <v>1594</v>
      </c>
      <c r="C741">
        <v>34</v>
      </c>
      <c r="D741">
        <v>2723286</v>
      </c>
      <c r="E741">
        <v>2.7232859999999999</v>
      </c>
      <c r="F741">
        <v>4052</v>
      </c>
      <c r="G741">
        <v>80096.600000000006</v>
      </c>
      <c r="H741">
        <v>292242</v>
      </c>
    </row>
    <row r="742" spans="1:8" x14ac:dyDescent="0.25">
      <c r="A742" t="s">
        <v>476</v>
      </c>
      <c r="B742" t="s">
        <v>1594</v>
      </c>
      <c r="C742">
        <v>33</v>
      </c>
      <c r="D742">
        <v>2764610</v>
      </c>
      <c r="E742">
        <v>2.7646099999999998</v>
      </c>
      <c r="F742">
        <v>10491</v>
      </c>
      <c r="G742">
        <v>83776.100000000006</v>
      </c>
      <c r="H742">
        <v>214883</v>
      </c>
    </row>
    <row r="743" spans="1:8" x14ac:dyDescent="0.25">
      <c r="A743" t="s">
        <v>477</v>
      </c>
      <c r="B743" t="s">
        <v>1594</v>
      </c>
      <c r="C743">
        <v>19</v>
      </c>
      <c r="D743">
        <v>2705373</v>
      </c>
      <c r="E743">
        <v>2.7053729999999998</v>
      </c>
      <c r="F743">
        <v>5042</v>
      </c>
      <c r="G743">
        <v>142388.1</v>
      </c>
      <c r="H743">
        <v>298464</v>
      </c>
    </row>
    <row r="744" spans="1:8" x14ac:dyDescent="0.25">
      <c r="A744" t="s">
        <v>478</v>
      </c>
      <c r="B744" t="s">
        <v>1594</v>
      </c>
      <c r="C744">
        <v>36</v>
      </c>
      <c r="D744">
        <v>3120841</v>
      </c>
      <c r="E744">
        <v>3.120841</v>
      </c>
      <c r="F744">
        <v>7668</v>
      </c>
      <c r="G744">
        <v>86690</v>
      </c>
      <c r="H744">
        <v>500001</v>
      </c>
    </row>
    <row r="745" spans="1:8" x14ac:dyDescent="0.25">
      <c r="A745" t="s">
        <v>479</v>
      </c>
      <c r="B745" t="s">
        <v>1594</v>
      </c>
      <c r="C745">
        <v>31</v>
      </c>
      <c r="D745">
        <v>2620209</v>
      </c>
      <c r="E745">
        <v>2.620209</v>
      </c>
      <c r="F745">
        <v>7917</v>
      </c>
      <c r="G745">
        <v>84522.9</v>
      </c>
      <c r="H745">
        <v>222534</v>
      </c>
    </row>
    <row r="746" spans="1:8" x14ac:dyDescent="0.25">
      <c r="A746" t="s">
        <v>480</v>
      </c>
      <c r="B746" t="s">
        <v>1594</v>
      </c>
      <c r="C746">
        <v>28</v>
      </c>
      <c r="D746">
        <v>2820900</v>
      </c>
      <c r="E746">
        <v>2.8209</v>
      </c>
      <c r="F746">
        <v>7885</v>
      </c>
      <c r="G746">
        <v>100746.4</v>
      </c>
      <c r="H746">
        <v>365389</v>
      </c>
    </row>
    <row r="747" spans="1:8" x14ac:dyDescent="0.25">
      <c r="A747" t="s">
        <v>481</v>
      </c>
      <c r="B747" t="s">
        <v>1594</v>
      </c>
      <c r="C747">
        <v>32</v>
      </c>
      <c r="D747">
        <v>2949448</v>
      </c>
      <c r="E747">
        <v>2.9494479999999998</v>
      </c>
      <c r="F747">
        <v>5470</v>
      </c>
      <c r="G747">
        <v>92170.3</v>
      </c>
      <c r="H747">
        <v>339591</v>
      </c>
    </row>
    <row r="748" spans="1:8" x14ac:dyDescent="0.25">
      <c r="A748" t="s">
        <v>482</v>
      </c>
      <c r="B748" t="s">
        <v>1594</v>
      </c>
      <c r="C748">
        <v>14</v>
      </c>
      <c r="D748">
        <v>2677277</v>
      </c>
      <c r="E748">
        <v>2.6772770000000001</v>
      </c>
      <c r="F748">
        <v>17919</v>
      </c>
      <c r="G748">
        <v>191234.1</v>
      </c>
      <c r="H748">
        <v>611853</v>
      </c>
    </row>
    <row r="749" spans="1:8" x14ac:dyDescent="0.25">
      <c r="A749" t="s">
        <v>483</v>
      </c>
      <c r="B749" t="s">
        <v>1594</v>
      </c>
      <c r="C749">
        <v>26</v>
      </c>
      <c r="D749">
        <v>3388814</v>
      </c>
      <c r="E749">
        <v>3.388814</v>
      </c>
      <c r="F749">
        <v>13418</v>
      </c>
      <c r="G749">
        <v>130339</v>
      </c>
      <c r="H749">
        <v>461247</v>
      </c>
    </row>
    <row r="750" spans="1:8" x14ac:dyDescent="0.25">
      <c r="A750" t="s">
        <v>484</v>
      </c>
      <c r="B750" t="s">
        <v>1594</v>
      </c>
      <c r="C750">
        <v>8</v>
      </c>
      <c r="D750">
        <v>3638038</v>
      </c>
      <c r="E750">
        <v>3.6380379999999999</v>
      </c>
      <c r="F750">
        <v>45232</v>
      </c>
      <c r="G750">
        <v>454754.8</v>
      </c>
      <c r="H750">
        <v>1275209</v>
      </c>
    </row>
    <row r="751" spans="1:8" x14ac:dyDescent="0.25">
      <c r="A751" t="s">
        <v>485</v>
      </c>
      <c r="B751" t="s">
        <v>1594</v>
      </c>
      <c r="C751">
        <v>21</v>
      </c>
      <c r="D751">
        <v>2716674</v>
      </c>
      <c r="E751">
        <v>2.7166739999999998</v>
      </c>
      <c r="F751">
        <v>2336</v>
      </c>
      <c r="G751">
        <v>129365.4</v>
      </c>
      <c r="H751">
        <v>626115</v>
      </c>
    </row>
    <row r="752" spans="1:8" x14ac:dyDescent="0.25">
      <c r="A752" t="s">
        <v>486</v>
      </c>
      <c r="B752" t="s">
        <v>1594</v>
      </c>
      <c r="C752">
        <v>40</v>
      </c>
      <c r="D752">
        <v>2990045</v>
      </c>
      <c r="E752">
        <v>2.9900449999999998</v>
      </c>
      <c r="F752">
        <v>2163</v>
      </c>
      <c r="G752">
        <v>74751.100000000006</v>
      </c>
      <c r="H752">
        <v>297648</v>
      </c>
    </row>
    <row r="753" spans="1:8" x14ac:dyDescent="0.25">
      <c r="A753" t="s">
        <v>487</v>
      </c>
      <c r="B753" t="s">
        <v>1594</v>
      </c>
      <c r="C753">
        <v>85</v>
      </c>
      <c r="D753">
        <v>1904566</v>
      </c>
      <c r="E753">
        <v>1.904566</v>
      </c>
      <c r="F753">
        <v>2026</v>
      </c>
      <c r="G753">
        <v>22406.7</v>
      </c>
      <c r="H753">
        <v>124602</v>
      </c>
    </row>
    <row r="754" spans="1:8" x14ac:dyDescent="0.25">
      <c r="A754" t="s">
        <v>488</v>
      </c>
      <c r="B754" t="s">
        <v>1594</v>
      </c>
      <c r="C754">
        <v>83</v>
      </c>
      <c r="D754">
        <v>2764802</v>
      </c>
      <c r="E754">
        <v>2.764802</v>
      </c>
      <c r="F754">
        <v>2001</v>
      </c>
      <c r="G754">
        <v>33310.9</v>
      </c>
      <c r="H754">
        <v>217596</v>
      </c>
    </row>
    <row r="755" spans="1:8" x14ac:dyDescent="0.25">
      <c r="A755" t="s">
        <v>489</v>
      </c>
      <c r="B755" t="s">
        <v>1594</v>
      </c>
      <c r="C755">
        <v>7</v>
      </c>
      <c r="D755">
        <v>2970277</v>
      </c>
      <c r="E755">
        <v>2.9702769999999998</v>
      </c>
      <c r="F755">
        <v>256918</v>
      </c>
      <c r="G755">
        <v>424325.3</v>
      </c>
      <c r="H755">
        <v>840649</v>
      </c>
    </row>
    <row r="756" spans="1:8" x14ac:dyDescent="0.25">
      <c r="A756" t="s">
        <v>490</v>
      </c>
      <c r="B756" t="s">
        <v>1594</v>
      </c>
      <c r="C756">
        <v>32</v>
      </c>
      <c r="D756">
        <v>2880779</v>
      </c>
      <c r="E756">
        <v>2.880779</v>
      </c>
      <c r="F756">
        <v>3790</v>
      </c>
      <c r="G756">
        <v>90024.3</v>
      </c>
      <c r="H756">
        <v>575311</v>
      </c>
    </row>
    <row r="757" spans="1:8" x14ac:dyDescent="0.25">
      <c r="A757" t="s">
        <v>491</v>
      </c>
      <c r="B757" t="s">
        <v>1594</v>
      </c>
      <c r="C757">
        <v>23</v>
      </c>
      <c r="D757">
        <v>2855703</v>
      </c>
      <c r="E757">
        <v>2.8557030000000001</v>
      </c>
      <c r="F757">
        <v>6680</v>
      </c>
      <c r="G757">
        <v>124161</v>
      </c>
      <c r="H757">
        <v>428326</v>
      </c>
    </row>
    <row r="758" spans="1:8" x14ac:dyDescent="0.25">
      <c r="A758" t="s">
        <v>492</v>
      </c>
      <c r="B758" t="s">
        <v>1594</v>
      </c>
      <c r="C758">
        <v>15</v>
      </c>
      <c r="D758">
        <v>2836570</v>
      </c>
      <c r="E758">
        <v>2.83657</v>
      </c>
      <c r="F758">
        <v>2527</v>
      </c>
      <c r="G758">
        <v>189104.7</v>
      </c>
      <c r="H758">
        <v>617755</v>
      </c>
    </row>
    <row r="759" spans="1:8" x14ac:dyDescent="0.25">
      <c r="A759" t="s">
        <v>493</v>
      </c>
      <c r="B759" t="s">
        <v>1594</v>
      </c>
      <c r="C759">
        <v>62</v>
      </c>
      <c r="D759">
        <v>2063246</v>
      </c>
      <c r="E759">
        <v>2.0632459999999999</v>
      </c>
      <c r="F759">
        <v>2542</v>
      </c>
      <c r="G759">
        <v>33278.199999999997</v>
      </c>
      <c r="H759">
        <v>252271</v>
      </c>
    </row>
    <row r="760" spans="1:8" x14ac:dyDescent="0.25">
      <c r="A760" t="s">
        <v>494</v>
      </c>
      <c r="B760" t="s">
        <v>1594</v>
      </c>
      <c r="C760">
        <v>25</v>
      </c>
      <c r="D760">
        <v>2253950</v>
      </c>
      <c r="E760">
        <v>2.2539500000000001</v>
      </c>
      <c r="F760">
        <v>3450</v>
      </c>
      <c r="G760">
        <v>90158</v>
      </c>
      <c r="H760">
        <v>304191</v>
      </c>
    </row>
    <row r="761" spans="1:8" x14ac:dyDescent="0.25">
      <c r="A761" t="s">
        <v>495</v>
      </c>
      <c r="B761" t="s">
        <v>1594</v>
      </c>
      <c r="C761">
        <v>61</v>
      </c>
      <c r="D761">
        <v>3686247</v>
      </c>
      <c r="E761">
        <v>3.6862469999999998</v>
      </c>
      <c r="F761">
        <v>3080</v>
      </c>
      <c r="G761">
        <v>60430.3</v>
      </c>
      <c r="H761">
        <v>327228</v>
      </c>
    </row>
    <row r="762" spans="1:8" x14ac:dyDescent="0.25">
      <c r="A762" t="s">
        <v>496</v>
      </c>
      <c r="B762" t="s">
        <v>1594</v>
      </c>
      <c r="C762">
        <v>27</v>
      </c>
      <c r="D762">
        <v>2730763</v>
      </c>
      <c r="E762">
        <v>2.7307630000000001</v>
      </c>
      <c r="F762">
        <v>7556</v>
      </c>
      <c r="G762">
        <v>101139.4</v>
      </c>
      <c r="H762">
        <v>306489</v>
      </c>
    </row>
    <row r="763" spans="1:8" x14ac:dyDescent="0.25">
      <c r="A763" t="s">
        <v>497</v>
      </c>
      <c r="B763" t="s">
        <v>1594</v>
      </c>
      <c r="C763">
        <v>49</v>
      </c>
      <c r="D763">
        <v>3561670</v>
      </c>
      <c r="E763">
        <v>3.5616699999999999</v>
      </c>
      <c r="F763">
        <v>2082</v>
      </c>
      <c r="G763">
        <v>72687.100000000006</v>
      </c>
      <c r="H763">
        <v>303879</v>
      </c>
    </row>
    <row r="764" spans="1:8" x14ac:dyDescent="0.25">
      <c r="A764" t="s">
        <v>498</v>
      </c>
      <c r="B764" t="s">
        <v>1594</v>
      </c>
      <c r="C764">
        <v>42</v>
      </c>
      <c r="D764">
        <v>3347535</v>
      </c>
      <c r="E764">
        <v>3.3475350000000001</v>
      </c>
      <c r="F764">
        <v>2429</v>
      </c>
      <c r="G764">
        <v>79703.199999999997</v>
      </c>
      <c r="H764">
        <v>206458</v>
      </c>
    </row>
    <row r="765" spans="1:8" x14ac:dyDescent="0.25">
      <c r="A765" t="s">
        <v>499</v>
      </c>
      <c r="B765" t="s">
        <v>1594</v>
      </c>
      <c r="C765">
        <v>15</v>
      </c>
      <c r="D765">
        <v>2737655</v>
      </c>
      <c r="E765">
        <v>2.7376550000000002</v>
      </c>
      <c r="F765">
        <v>24627</v>
      </c>
      <c r="G765">
        <v>182510.3</v>
      </c>
      <c r="H765">
        <v>543686</v>
      </c>
    </row>
    <row r="766" spans="1:8" x14ac:dyDescent="0.25">
      <c r="A766" t="s">
        <v>500</v>
      </c>
      <c r="B766" t="s">
        <v>1594</v>
      </c>
      <c r="C766">
        <v>27</v>
      </c>
      <c r="D766">
        <v>3121438</v>
      </c>
      <c r="E766">
        <v>3.1214379999999999</v>
      </c>
      <c r="F766">
        <v>2132</v>
      </c>
      <c r="G766">
        <v>115608.8</v>
      </c>
      <c r="H766">
        <v>440698</v>
      </c>
    </row>
    <row r="767" spans="1:8" x14ac:dyDescent="0.25">
      <c r="A767" t="s">
        <v>501</v>
      </c>
      <c r="B767" t="s">
        <v>1594</v>
      </c>
      <c r="C767">
        <v>39</v>
      </c>
      <c r="D767">
        <v>3889718</v>
      </c>
      <c r="E767">
        <v>3.8897179999999998</v>
      </c>
      <c r="F767">
        <v>13855</v>
      </c>
      <c r="G767">
        <v>99736.4</v>
      </c>
      <c r="H767">
        <v>297956</v>
      </c>
    </row>
    <row r="768" spans="1:8" x14ac:dyDescent="0.25">
      <c r="A768" t="s">
        <v>502</v>
      </c>
      <c r="B768" t="s">
        <v>1594</v>
      </c>
      <c r="C768">
        <v>10</v>
      </c>
      <c r="D768">
        <v>2871020</v>
      </c>
      <c r="E768">
        <v>2.8710200000000001</v>
      </c>
      <c r="F768">
        <v>2401</v>
      </c>
      <c r="G768">
        <v>287102</v>
      </c>
      <c r="H768">
        <v>784735</v>
      </c>
    </row>
    <row r="769" spans="1:8" x14ac:dyDescent="0.25">
      <c r="A769" t="s">
        <v>503</v>
      </c>
      <c r="B769" t="s">
        <v>1594</v>
      </c>
      <c r="C769">
        <v>20</v>
      </c>
      <c r="D769">
        <v>7016888</v>
      </c>
      <c r="E769">
        <v>7.0168879999999998</v>
      </c>
      <c r="F769">
        <v>49227</v>
      </c>
      <c r="G769">
        <v>350844.4</v>
      </c>
      <c r="H769">
        <v>1127738</v>
      </c>
    </row>
    <row r="770" spans="1:8" x14ac:dyDescent="0.25">
      <c r="A770" t="s">
        <v>504</v>
      </c>
      <c r="B770" t="s">
        <v>1594</v>
      </c>
      <c r="C770">
        <v>27</v>
      </c>
      <c r="D770">
        <v>3635290</v>
      </c>
      <c r="E770">
        <v>3.6352899999999999</v>
      </c>
      <c r="F770">
        <v>2172</v>
      </c>
      <c r="G770">
        <v>134640.4</v>
      </c>
      <c r="H770">
        <v>396354</v>
      </c>
    </row>
    <row r="771" spans="1:8" x14ac:dyDescent="0.25">
      <c r="A771" t="s">
        <v>505</v>
      </c>
      <c r="B771" t="s">
        <v>1594</v>
      </c>
      <c r="C771">
        <v>5</v>
      </c>
      <c r="D771">
        <v>4109526</v>
      </c>
      <c r="E771">
        <v>4.1095259999999998</v>
      </c>
      <c r="F771">
        <v>3429</v>
      </c>
      <c r="G771">
        <v>821905.2</v>
      </c>
      <c r="H771">
        <v>2007815</v>
      </c>
    </row>
    <row r="772" spans="1:8" x14ac:dyDescent="0.25">
      <c r="A772" t="s">
        <v>506</v>
      </c>
      <c r="B772" t="s">
        <v>1594</v>
      </c>
      <c r="C772">
        <v>23</v>
      </c>
      <c r="D772">
        <v>2622644</v>
      </c>
      <c r="E772">
        <v>2.6226440000000002</v>
      </c>
      <c r="F772">
        <v>6041</v>
      </c>
      <c r="G772">
        <v>114028</v>
      </c>
      <c r="H772">
        <v>446000</v>
      </c>
    </row>
    <row r="773" spans="1:8" x14ac:dyDescent="0.25">
      <c r="A773" t="s">
        <v>507</v>
      </c>
      <c r="B773" t="s">
        <v>1594</v>
      </c>
      <c r="C773">
        <v>49</v>
      </c>
      <c r="D773">
        <v>2324424</v>
      </c>
      <c r="E773">
        <v>2.324424</v>
      </c>
      <c r="F773">
        <v>2528</v>
      </c>
      <c r="G773">
        <v>47437.2</v>
      </c>
      <c r="H773">
        <v>144422</v>
      </c>
    </row>
    <row r="774" spans="1:8" x14ac:dyDescent="0.25">
      <c r="A774" t="s">
        <v>508</v>
      </c>
      <c r="B774" t="s">
        <v>1594</v>
      </c>
      <c r="C774">
        <v>24</v>
      </c>
      <c r="D774">
        <v>3376631</v>
      </c>
      <c r="E774">
        <v>3.3766310000000002</v>
      </c>
      <c r="F774">
        <v>2131</v>
      </c>
      <c r="G774">
        <v>140693</v>
      </c>
      <c r="H774">
        <v>675485</v>
      </c>
    </row>
    <row r="775" spans="1:8" x14ac:dyDescent="0.25">
      <c r="A775" t="s">
        <v>509</v>
      </c>
      <c r="B775" t="s">
        <v>1594</v>
      </c>
      <c r="C775">
        <v>39</v>
      </c>
      <c r="D775">
        <v>3701186</v>
      </c>
      <c r="E775">
        <v>3.7011859999999999</v>
      </c>
      <c r="F775">
        <v>2007</v>
      </c>
      <c r="G775">
        <v>94902.2</v>
      </c>
      <c r="H775">
        <v>1129781</v>
      </c>
    </row>
    <row r="776" spans="1:8" x14ac:dyDescent="0.25">
      <c r="A776" t="s">
        <v>510</v>
      </c>
      <c r="B776" t="s">
        <v>1594</v>
      </c>
      <c r="C776">
        <v>12</v>
      </c>
      <c r="D776">
        <v>3194992</v>
      </c>
      <c r="E776">
        <v>3.1949920000000001</v>
      </c>
      <c r="F776">
        <v>2075</v>
      </c>
      <c r="G776">
        <v>266249.3</v>
      </c>
      <c r="H776">
        <v>3038606</v>
      </c>
    </row>
    <row r="777" spans="1:8" x14ac:dyDescent="0.25">
      <c r="A777" t="s">
        <v>511</v>
      </c>
      <c r="B777" t="s">
        <v>1594</v>
      </c>
      <c r="C777">
        <v>89</v>
      </c>
      <c r="D777">
        <v>2459392</v>
      </c>
      <c r="E777">
        <v>2.4593919999999998</v>
      </c>
      <c r="F777">
        <v>2084</v>
      </c>
      <c r="G777">
        <v>27633.599999999999</v>
      </c>
      <c r="H777">
        <v>244435</v>
      </c>
    </row>
    <row r="778" spans="1:8" x14ac:dyDescent="0.25">
      <c r="A778" t="s">
        <v>512</v>
      </c>
      <c r="B778" t="s">
        <v>1594</v>
      </c>
      <c r="C778">
        <v>159</v>
      </c>
      <c r="D778">
        <v>2772925</v>
      </c>
      <c r="E778">
        <v>2.7729249999999999</v>
      </c>
      <c r="F778">
        <v>2025</v>
      </c>
      <c r="G778">
        <v>17439.8</v>
      </c>
      <c r="H778">
        <v>92075</v>
      </c>
    </row>
    <row r="779" spans="1:8" x14ac:dyDescent="0.25">
      <c r="A779" t="s">
        <v>513</v>
      </c>
      <c r="B779" t="s">
        <v>1594</v>
      </c>
      <c r="C779">
        <v>24</v>
      </c>
      <c r="D779">
        <v>3085988</v>
      </c>
      <c r="E779">
        <v>3.085988</v>
      </c>
      <c r="F779">
        <v>14167</v>
      </c>
      <c r="G779">
        <v>128582.8</v>
      </c>
      <c r="H779">
        <v>413075</v>
      </c>
    </row>
    <row r="780" spans="1:8" x14ac:dyDescent="0.25">
      <c r="A780" t="s">
        <v>514</v>
      </c>
      <c r="B780" t="s">
        <v>1594</v>
      </c>
      <c r="C780">
        <v>30</v>
      </c>
      <c r="D780">
        <v>4585740</v>
      </c>
      <c r="E780">
        <v>4.5857400000000004</v>
      </c>
      <c r="F780">
        <v>9256</v>
      </c>
      <c r="G780">
        <v>152858</v>
      </c>
      <c r="H780">
        <v>664926</v>
      </c>
    </row>
    <row r="781" spans="1:8" x14ac:dyDescent="0.25">
      <c r="A781" t="s">
        <v>515</v>
      </c>
      <c r="B781" t="s">
        <v>1594</v>
      </c>
      <c r="C781">
        <v>147</v>
      </c>
      <c r="D781">
        <v>2446635</v>
      </c>
      <c r="E781">
        <v>2.4466350000000001</v>
      </c>
      <c r="F781">
        <v>2008</v>
      </c>
      <c r="G781">
        <v>16643.8</v>
      </c>
      <c r="H781">
        <v>299615</v>
      </c>
    </row>
    <row r="782" spans="1:8" x14ac:dyDescent="0.25">
      <c r="A782" t="s">
        <v>516</v>
      </c>
      <c r="B782" t="s">
        <v>1594</v>
      </c>
      <c r="C782">
        <v>93</v>
      </c>
      <c r="D782">
        <v>1839386</v>
      </c>
      <c r="E782">
        <v>1.839386</v>
      </c>
      <c r="F782">
        <v>2029</v>
      </c>
      <c r="G782">
        <v>19778.3</v>
      </c>
      <c r="H782">
        <v>122639</v>
      </c>
    </row>
    <row r="783" spans="1:8" x14ac:dyDescent="0.25">
      <c r="A783" t="s">
        <v>517</v>
      </c>
      <c r="B783" t="s">
        <v>1594</v>
      </c>
      <c r="C783">
        <v>62</v>
      </c>
      <c r="D783">
        <v>2199064</v>
      </c>
      <c r="E783">
        <v>2.1990639999999999</v>
      </c>
      <c r="F783">
        <v>2930</v>
      </c>
      <c r="G783">
        <v>35468.800000000003</v>
      </c>
      <c r="H783">
        <v>216942</v>
      </c>
    </row>
    <row r="784" spans="1:8" x14ac:dyDescent="0.25">
      <c r="A784" t="s">
        <v>518</v>
      </c>
      <c r="B784" t="s">
        <v>1594</v>
      </c>
      <c r="C784">
        <v>22</v>
      </c>
      <c r="D784">
        <v>2767527</v>
      </c>
      <c r="E784">
        <v>2.7675269999999998</v>
      </c>
      <c r="F784">
        <v>4995</v>
      </c>
      <c r="G784">
        <v>125796.7</v>
      </c>
      <c r="H784">
        <v>453517</v>
      </c>
    </row>
    <row r="785" spans="1:8" x14ac:dyDescent="0.25">
      <c r="A785" t="s">
        <v>519</v>
      </c>
      <c r="B785" t="s">
        <v>1594</v>
      </c>
      <c r="C785">
        <v>51</v>
      </c>
      <c r="D785">
        <v>2259512</v>
      </c>
      <c r="E785">
        <v>2.259512</v>
      </c>
      <c r="F785">
        <v>3869</v>
      </c>
      <c r="G785">
        <v>44304.2</v>
      </c>
      <c r="H785">
        <v>159892</v>
      </c>
    </row>
    <row r="786" spans="1:8" x14ac:dyDescent="0.25">
      <c r="A786" t="s">
        <v>520</v>
      </c>
      <c r="B786" t="s">
        <v>1594</v>
      </c>
      <c r="C786">
        <v>73</v>
      </c>
      <c r="D786">
        <v>2769738</v>
      </c>
      <c r="E786">
        <v>2.7697379999999998</v>
      </c>
      <c r="F786">
        <v>3736</v>
      </c>
      <c r="G786">
        <v>37941.599999999999</v>
      </c>
      <c r="H786">
        <v>156534</v>
      </c>
    </row>
    <row r="787" spans="1:8" x14ac:dyDescent="0.25">
      <c r="A787" t="s">
        <v>521</v>
      </c>
      <c r="B787" t="s">
        <v>1594</v>
      </c>
      <c r="C787">
        <v>62</v>
      </c>
      <c r="D787">
        <v>2532962</v>
      </c>
      <c r="E787">
        <v>2.5329619999999999</v>
      </c>
      <c r="F787">
        <v>2186</v>
      </c>
      <c r="G787">
        <v>40854.199999999997</v>
      </c>
      <c r="H787">
        <v>231168</v>
      </c>
    </row>
    <row r="788" spans="1:8" x14ac:dyDescent="0.25">
      <c r="A788" t="s">
        <v>522</v>
      </c>
      <c r="B788" t="s">
        <v>1594</v>
      </c>
      <c r="C788">
        <v>12</v>
      </c>
      <c r="D788">
        <v>4310119</v>
      </c>
      <c r="E788">
        <v>4.3101190000000003</v>
      </c>
      <c r="F788">
        <v>2027</v>
      </c>
      <c r="G788">
        <v>359176.6</v>
      </c>
      <c r="H788">
        <v>1161114</v>
      </c>
    </row>
    <row r="789" spans="1:8" x14ac:dyDescent="0.25">
      <c r="A789" t="s">
        <v>523</v>
      </c>
      <c r="B789" t="s">
        <v>1594</v>
      </c>
      <c r="C789">
        <v>18</v>
      </c>
      <c r="D789">
        <v>4338154</v>
      </c>
      <c r="E789">
        <v>4.3381540000000003</v>
      </c>
      <c r="F789">
        <v>3318</v>
      </c>
      <c r="G789">
        <v>241008.6</v>
      </c>
      <c r="H789">
        <v>719544</v>
      </c>
    </row>
    <row r="790" spans="1:8" x14ac:dyDescent="0.25">
      <c r="A790" t="s">
        <v>524</v>
      </c>
      <c r="B790" t="s">
        <v>1594</v>
      </c>
      <c r="C790">
        <v>164</v>
      </c>
      <c r="D790">
        <v>3141852</v>
      </c>
      <c r="E790">
        <v>3.1418520000000001</v>
      </c>
      <c r="F790">
        <v>2035</v>
      </c>
      <c r="G790">
        <v>19157.599999999999</v>
      </c>
      <c r="H790">
        <v>180595</v>
      </c>
    </row>
    <row r="791" spans="1:8" x14ac:dyDescent="0.25">
      <c r="A791" t="s">
        <v>525</v>
      </c>
      <c r="B791" t="s">
        <v>1594</v>
      </c>
      <c r="C791">
        <v>50</v>
      </c>
      <c r="D791">
        <v>2316099</v>
      </c>
      <c r="E791">
        <v>2.3160989999999999</v>
      </c>
      <c r="F791">
        <v>2887</v>
      </c>
      <c r="G791">
        <v>46322</v>
      </c>
      <c r="H791">
        <v>173565</v>
      </c>
    </row>
    <row r="792" spans="1:8" x14ac:dyDescent="0.25">
      <c r="A792" t="s">
        <v>526</v>
      </c>
      <c r="B792" t="s">
        <v>1594</v>
      </c>
      <c r="C792">
        <v>15</v>
      </c>
      <c r="D792">
        <v>2483934</v>
      </c>
      <c r="E792">
        <v>2.4839340000000001</v>
      </c>
      <c r="F792">
        <v>34775</v>
      </c>
      <c r="G792">
        <v>165595.6</v>
      </c>
      <c r="H792">
        <v>567518</v>
      </c>
    </row>
    <row r="793" spans="1:8" x14ac:dyDescent="0.25">
      <c r="A793" t="s">
        <v>527</v>
      </c>
      <c r="B793" t="s">
        <v>1594</v>
      </c>
      <c r="C793">
        <v>32</v>
      </c>
      <c r="D793">
        <v>1959950</v>
      </c>
      <c r="E793">
        <v>1.9599500000000001</v>
      </c>
      <c r="F793">
        <v>2154</v>
      </c>
      <c r="G793">
        <v>61248.4</v>
      </c>
      <c r="H793">
        <v>218117</v>
      </c>
    </row>
    <row r="794" spans="1:8" x14ac:dyDescent="0.25">
      <c r="A794" t="s">
        <v>528</v>
      </c>
      <c r="B794" t="s">
        <v>1594</v>
      </c>
      <c r="C794">
        <v>14</v>
      </c>
      <c r="D794">
        <v>2972932</v>
      </c>
      <c r="E794">
        <v>2.9729320000000001</v>
      </c>
      <c r="F794">
        <v>19925</v>
      </c>
      <c r="G794">
        <v>212352.3</v>
      </c>
      <c r="H794">
        <v>511239</v>
      </c>
    </row>
    <row r="795" spans="1:8" x14ac:dyDescent="0.25">
      <c r="A795" t="s">
        <v>529</v>
      </c>
      <c r="B795" t="s">
        <v>1594</v>
      </c>
      <c r="C795">
        <v>17</v>
      </c>
      <c r="D795">
        <v>2705930</v>
      </c>
      <c r="E795">
        <v>2.7059299999999999</v>
      </c>
      <c r="F795">
        <v>7604</v>
      </c>
      <c r="G795">
        <v>159172.4</v>
      </c>
      <c r="H795">
        <v>952807</v>
      </c>
    </row>
    <row r="796" spans="1:8" x14ac:dyDescent="0.25">
      <c r="A796" t="s">
        <v>530</v>
      </c>
      <c r="B796" t="s">
        <v>1594</v>
      </c>
      <c r="C796">
        <v>24</v>
      </c>
      <c r="D796">
        <v>1185228</v>
      </c>
      <c r="E796">
        <v>1.1852279999999999</v>
      </c>
      <c r="F796">
        <v>2911</v>
      </c>
      <c r="G796">
        <v>49384.5</v>
      </c>
      <c r="H796">
        <v>125070</v>
      </c>
    </row>
    <row r="797" spans="1:8" x14ac:dyDescent="0.25">
      <c r="A797" t="s">
        <v>531</v>
      </c>
      <c r="B797" t="s">
        <v>1594</v>
      </c>
      <c r="C797">
        <v>38</v>
      </c>
      <c r="D797">
        <v>1702935</v>
      </c>
      <c r="E797">
        <v>1.7029350000000001</v>
      </c>
      <c r="F797">
        <v>2117</v>
      </c>
      <c r="G797">
        <v>44814.1</v>
      </c>
      <c r="H797">
        <v>194754</v>
      </c>
    </row>
    <row r="798" spans="1:8" x14ac:dyDescent="0.25">
      <c r="A798" t="s">
        <v>532</v>
      </c>
      <c r="B798" t="s">
        <v>1594</v>
      </c>
      <c r="C798">
        <v>73</v>
      </c>
      <c r="D798">
        <v>1629261</v>
      </c>
      <c r="E798">
        <v>1.6292610000000001</v>
      </c>
      <c r="F798">
        <v>2012</v>
      </c>
      <c r="G798">
        <v>22318.6</v>
      </c>
      <c r="H798">
        <v>95464</v>
      </c>
    </row>
    <row r="799" spans="1:8" x14ac:dyDescent="0.25">
      <c r="A799" t="s">
        <v>533</v>
      </c>
      <c r="B799" t="s">
        <v>1594</v>
      </c>
      <c r="C799">
        <v>35</v>
      </c>
      <c r="D799">
        <v>1837389</v>
      </c>
      <c r="E799">
        <v>1.8373889999999999</v>
      </c>
      <c r="F799">
        <v>5377</v>
      </c>
      <c r="G799">
        <v>52496.800000000003</v>
      </c>
      <c r="H799">
        <v>136251</v>
      </c>
    </row>
    <row r="800" spans="1:8" x14ac:dyDescent="0.25">
      <c r="A800" t="s">
        <v>534</v>
      </c>
      <c r="B800" t="s">
        <v>1594</v>
      </c>
      <c r="C800">
        <v>26</v>
      </c>
      <c r="D800">
        <v>1645374</v>
      </c>
      <c r="E800">
        <v>1.6453739999999999</v>
      </c>
      <c r="F800">
        <v>9516</v>
      </c>
      <c r="G800">
        <v>63283.6</v>
      </c>
      <c r="H800">
        <v>226775</v>
      </c>
    </row>
    <row r="801" spans="1:8" x14ac:dyDescent="0.25">
      <c r="A801" t="s">
        <v>535</v>
      </c>
      <c r="B801" t="s">
        <v>1594</v>
      </c>
      <c r="C801">
        <v>16</v>
      </c>
      <c r="D801">
        <v>1980493</v>
      </c>
      <c r="E801">
        <v>1.9804930000000001</v>
      </c>
      <c r="F801">
        <v>17302</v>
      </c>
      <c r="G801">
        <v>123780.8</v>
      </c>
      <c r="H801">
        <v>394803</v>
      </c>
    </row>
    <row r="802" spans="1:8" x14ac:dyDescent="0.25">
      <c r="A802" t="s">
        <v>536</v>
      </c>
      <c r="B802" t="s">
        <v>1594</v>
      </c>
      <c r="C802">
        <v>42</v>
      </c>
      <c r="D802">
        <v>2081294</v>
      </c>
      <c r="E802">
        <v>2.0812940000000002</v>
      </c>
      <c r="F802">
        <v>2145</v>
      </c>
      <c r="G802">
        <v>49554.6</v>
      </c>
      <c r="H802">
        <v>253211</v>
      </c>
    </row>
    <row r="803" spans="1:8" x14ac:dyDescent="0.25">
      <c r="A803" t="s">
        <v>537</v>
      </c>
      <c r="B803" t="s">
        <v>1594</v>
      </c>
      <c r="C803">
        <v>11</v>
      </c>
      <c r="D803">
        <v>2146934</v>
      </c>
      <c r="E803">
        <v>2.1469339999999999</v>
      </c>
      <c r="F803">
        <v>16040</v>
      </c>
      <c r="G803">
        <v>195175.8</v>
      </c>
      <c r="H803">
        <v>924392</v>
      </c>
    </row>
    <row r="804" spans="1:8" x14ac:dyDescent="0.25">
      <c r="A804" t="s">
        <v>538</v>
      </c>
      <c r="B804" t="s">
        <v>1594</v>
      </c>
      <c r="C804">
        <v>27</v>
      </c>
      <c r="D804">
        <v>1894799</v>
      </c>
      <c r="E804">
        <v>1.8947989999999999</v>
      </c>
      <c r="F804">
        <v>2187</v>
      </c>
      <c r="G804">
        <v>70177.7</v>
      </c>
      <c r="H804">
        <v>258918</v>
      </c>
    </row>
    <row r="805" spans="1:8" x14ac:dyDescent="0.25">
      <c r="A805" t="s">
        <v>539</v>
      </c>
      <c r="B805" t="s">
        <v>1594</v>
      </c>
      <c r="C805">
        <v>20</v>
      </c>
      <c r="D805">
        <v>2311365</v>
      </c>
      <c r="E805">
        <v>2.3113649999999999</v>
      </c>
      <c r="F805">
        <v>3824</v>
      </c>
      <c r="G805">
        <v>115568.3</v>
      </c>
      <c r="H805">
        <v>431756</v>
      </c>
    </row>
    <row r="806" spans="1:8" x14ac:dyDescent="0.25">
      <c r="A806" t="s">
        <v>540</v>
      </c>
      <c r="B806" t="s">
        <v>1594</v>
      </c>
      <c r="C806">
        <v>33</v>
      </c>
      <c r="D806">
        <v>1972581</v>
      </c>
      <c r="E806">
        <v>1.9725809999999999</v>
      </c>
      <c r="F806">
        <v>2032</v>
      </c>
      <c r="G806">
        <v>59775.199999999997</v>
      </c>
      <c r="H806">
        <v>370724</v>
      </c>
    </row>
    <row r="807" spans="1:8" x14ac:dyDescent="0.25">
      <c r="A807" t="s">
        <v>541</v>
      </c>
      <c r="B807" t="s">
        <v>1594</v>
      </c>
      <c r="C807">
        <v>13</v>
      </c>
      <c r="D807">
        <v>2052349</v>
      </c>
      <c r="E807">
        <v>2.052349</v>
      </c>
      <c r="F807">
        <v>3048</v>
      </c>
      <c r="G807">
        <v>157873</v>
      </c>
      <c r="H807">
        <v>418652</v>
      </c>
    </row>
    <row r="808" spans="1:8" x14ac:dyDescent="0.25">
      <c r="A808" t="s">
        <v>542</v>
      </c>
      <c r="B808" t="s">
        <v>1594</v>
      </c>
      <c r="C808">
        <v>41</v>
      </c>
      <c r="D808">
        <v>1869718</v>
      </c>
      <c r="E808">
        <v>1.869718</v>
      </c>
      <c r="F808">
        <v>9378</v>
      </c>
      <c r="G808">
        <v>45602.9</v>
      </c>
      <c r="H808">
        <v>113373</v>
      </c>
    </row>
    <row r="809" spans="1:8" x14ac:dyDescent="0.25">
      <c r="A809" t="s">
        <v>543</v>
      </c>
      <c r="B809" t="s">
        <v>1594</v>
      </c>
      <c r="C809">
        <v>27</v>
      </c>
      <c r="D809">
        <v>1335824</v>
      </c>
      <c r="E809">
        <v>1.3358239999999999</v>
      </c>
      <c r="F809">
        <v>3134</v>
      </c>
      <c r="G809">
        <v>49475</v>
      </c>
      <c r="H809">
        <v>236123</v>
      </c>
    </row>
    <row r="810" spans="1:8" x14ac:dyDescent="0.25">
      <c r="A810" t="s">
        <v>544</v>
      </c>
      <c r="B810" t="s">
        <v>1594</v>
      </c>
      <c r="C810">
        <v>28</v>
      </c>
      <c r="D810">
        <v>1646767</v>
      </c>
      <c r="E810">
        <v>1.6467670000000001</v>
      </c>
      <c r="F810">
        <v>6629</v>
      </c>
      <c r="G810">
        <v>58813.1</v>
      </c>
      <c r="H810">
        <v>132397</v>
      </c>
    </row>
    <row r="811" spans="1:8" x14ac:dyDescent="0.25">
      <c r="A811" t="s">
        <v>545</v>
      </c>
      <c r="B811" t="s">
        <v>1594</v>
      </c>
      <c r="C811">
        <v>56</v>
      </c>
      <c r="D811">
        <v>1910496</v>
      </c>
      <c r="E811">
        <v>1.910496</v>
      </c>
      <c r="F811">
        <v>2208</v>
      </c>
      <c r="G811">
        <v>34116</v>
      </c>
      <c r="H811">
        <v>182265</v>
      </c>
    </row>
    <row r="812" spans="1:8" x14ac:dyDescent="0.25">
      <c r="A812" t="s">
        <v>546</v>
      </c>
      <c r="B812" t="s">
        <v>1594</v>
      </c>
      <c r="C812">
        <v>34</v>
      </c>
      <c r="D812">
        <v>1575487</v>
      </c>
      <c r="E812">
        <v>1.5754870000000001</v>
      </c>
      <c r="F812">
        <v>3813</v>
      </c>
      <c r="G812">
        <v>46337.9</v>
      </c>
      <c r="H812">
        <v>157228</v>
      </c>
    </row>
    <row r="813" spans="1:8" x14ac:dyDescent="0.25">
      <c r="A813" t="s">
        <v>547</v>
      </c>
      <c r="B813" t="s">
        <v>1594</v>
      </c>
      <c r="C813">
        <v>14</v>
      </c>
      <c r="D813">
        <v>2745558</v>
      </c>
      <c r="E813">
        <v>2.7455579999999999</v>
      </c>
      <c r="F813">
        <v>16334</v>
      </c>
      <c r="G813">
        <v>196111.3</v>
      </c>
      <c r="H813">
        <v>725693</v>
      </c>
    </row>
    <row r="814" spans="1:8" x14ac:dyDescent="0.25">
      <c r="A814" t="s">
        <v>548</v>
      </c>
      <c r="B814" t="s">
        <v>1594</v>
      </c>
      <c r="C814">
        <v>178</v>
      </c>
      <c r="D814">
        <v>1708241</v>
      </c>
      <c r="E814">
        <v>1.7082409999999999</v>
      </c>
      <c r="F814">
        <v>2002</v>
      </c>
      <c r="G814">
        <v>9596.9</v>
      </c>
      <c r="H814">
        <v>123620</v>
      </c>
    </row>
    <row r="815" spans="1:8" x14ac:dyDescent="0.25">
      <c r="A815" t="s">
        <v>549</v>
      </c>
      <c r="B815" t="s">
        <v>1594</v>
      </c>
      <c r="C815">
        <v>29</v>
      </c>
      <c r="D815">
        <v>1796587</v>
      </c>
      <c r="E815">
        <v>1.7965869999999999</v>
      </c>
      <c r="F815">
        <v>2124</v>
      </c>
      <c r="G815">
        <v>61951.3</v>
      </c>
      <c r="H815">
        <v>456353</v>
      </c>
    </row>
    <row r="816" spans="1:8" x14ac:dyDescent="0.25">
      <c r="A816" t="s">
        <v>550</v>
      </c>
      <c r="B816" t="s">
        <v>1594</v>
      </c>
      <c r="C816">
        <v>29</v>
      </c>
      <c r="D816">
        <v>2010235</v>
      </c>
      <c r="E816">
        <v>2.0102350000000002</v>
      </c>
      <c r="F816">
        <v>10974</v>
      </c>
      <c r="G816">
        <v>69318.399999999994</v>
      </c>
      <c r="H816">
        <v>257961</v>
      </c>
    </row>
    <row r="817" spans="1:8" x14ac:dyDescent="0.25">
      <c r="A817" t="s">
        <v>551</v>
      </c>
      <c r="B817" t="s">
        <v>1594</v>
      </c>
      <c r="C817">
        <v>7</v>
      </c>
      <c r="D817">
        <v>1855299</v>
      </c>
      <c r="E817">
        <v>1.855299</v>
      </c>
      <c r="F817">
        <v>88383</v>
      </c>
      <c r="G817">
        <v>265042.7</v>
      </c>
      <c r="H817">
        <v>626116</v>
      </c>
    </row>
    <row r="818" spans="1:8" x14ac:dyDescent="0.25">
      <c r="A818" t="s">
        <v>552</v>
      </c>
      <c r="B818" t="s">
        <v>1594</v>
      </c>
      <c r="C818">
        <v>18</v>
      </c>
      <c r="D818">
        <v>2516961</v>
      </c>
      <c r="E818">
        <v>2.5169609999999998</v>
      </c>
      <c r="F818">
        <v>6653</v>
      </c>
      <c r="G818">
        <v>139831.20000000001</v>
      </c>
      <c r="H818">
        <v>470582</v>
      </c>
    </row>
    <row r="819" spans="1:8" x14ac:dyDescent="0.25">
      <c r="A819" t="s">
        <v>553</v>
      </c>
      <c r="B819" t="s">
        <v>1594</v>
      </c>
      <c r="C819">
        <v>26</v>
      </c>
      <c r="D819">
        <v>2085236</v>
      </c>
      <c r="E819">
        <v>2.0852360000000001</v>
      </c>
      <c r="F819">
        <v>5380</v>
      </c>
      <c r="G819">
        <v>80201.399999999994</v>
      </c>
      <c r="H819">
        <v>385137</v>
      </c>
    </row>
    <row r="820" spans="1:8" x14ac:dyDescent="0.25">
      <c r="A820" t="s">
        <v>554</v>
      </c>
      <c r="B820" t="s">
        <v>1594</v>
      </c>
      <c r="C820">
        <v>78</v>
      </c>
      <c r="D820">
        <v>2633489</v>
      </c>
      <c r="E820">
        <v>2.633489</v>
      </c>
      <c r="F820">
        <v>2955</v>
      </c>
      <c r="G820">
        <v>33762.699999999997</v>
      </c>
      <c r="H820">
        <v>141558</v>
      </c>
    </row>
    <row r="821" spans="1:8" x14ac:dyDescent="0.25">
      <c r="A821" t="s">
        <v>555</v>
      </c>
      <c r="B821" t="s">
        <v>1594</v>
      </c>
      <c r="C821">
        <v>42</v>
      </c>
      <c r="D821">
        <v>3005097</v>
      </c>
      <c r="E821">
        <v>3.0050970000000001</v>
      </c>
      <c r="F821">
        <v>2755</v>
      </c>
      <c r="G821">
        <v>71549.899999999994</v>
      </c>
      <c r="H821">
        <v>325632</v>
      </c>
    </row>
    <row r="822" spans="1:8" x14ac:dyDescent="0.25">
      <c r="A822" t="s">
        <v>556</v>
      </c>
      <c r="B822" t="s">
        <v>1594</v>
      </c>
      <c r="C822">
        <v>16</v>
      </c>
      <c r="D822">
        <v>2901147</v>
      </c>
      <c r="E822">
        <v>2.9011469999999999</v>
      </c>
      <c r="F822">
        <v>32454</v>
      </c>
      <c r="G822">
        <v>181321.7</v>
      </c>
      <c r="H822">
        <v>494436</v>
      </c>
    </row>
    <row r="823" spans="1:8" x14ac:dyDescent="0.25">
      <c r="A823" t="s">
        <v>557</v>
      </c>
      <c r="B823" t="s">
        <v>1594</v>
      </c>
      <c r="C823">
        <v>46</v>
      </c>
      <c r="D823">
        <v>2413201</v>
      </c>
      <c r="E823">
        <v>2.4132009999999999</v>
      </c>
      <c r="F823">
        <v>2415</v>
      </c>
      <c r="G823">
        <v>52460.9</v>
      </c>
      <c r="H823">
        <v>226514</v>
      </c>
    </row>
    <row r="824" spans="1:8" x14ac:dyDescent="0.25">
      <c r="A824" t="s">
        <v>558</v>
      </c>
      <c r="B824" t="s">
        <v>1594</v>
      </c>
      <c r="C824">
        <v>83</v>
      </c>
      <c r="D824">
        <v>2096805</v>
      </c>
      <c r="E824">
        <v>2.0968049999999998</v>
      </c>
      <c r="F824">
        <v>2719</v>
      </c>
      <c r="G824">
        <v>25262.7</v>
      </c>
      <c r="H824">
        <v>88105</v>
      </c>
    </row>
    <row r="825" spans="1:8" x14ac:dyDescent="0.25">
      <c r="A825" t="s">
        <v>559</v>
      </c>
      <c r="B825" t="s">
        <v>1594</v>
      </c>
      <c r="C825">
        <v>18</v>
      </c>
      <c r="D825">
        <v>2467133</v>
      </c>
      <c r="E825">
        <v>2.467133</v>
      </c>
      <c r="F825">
        <v>5445</v>
      </c>
      <c r="G825">
        <v>137062.9</v>
      </c>
      <c r="H825">
        <v>337947</v>
      </c>
    </row>
    <row r="826" spans="1:8" x14ac:dyDescent="0.25">
      <c r="A826" t="s">
        <v>560</v>
      </c>
      <c r="B826" t="s">
        <v>1594</v>
      </c>
      <c r="C826">
        <v>46</v>
      </c>
      <c r="D826">
        <v>3026767</v>
      </c>
      <c r="E826">
        <v>3.026767</v>
      </c>
      <c r="F826">
        <v>3747</v>
      </c>
      <c r="G826">
        <v>65799.3</v>
      </c>
      <c r="H826">
        <v>259331</v>
      </c>
    </row>
    <row r="827" spans="1:8" x14ac:dyDescent="0.25">
      <c r="A827" t="s">
        <v>561</v>
      </c>
      <c r="B827" t="s">
        <v>1594</v>
      </c>
      <c r="C827">
        <v>28</v>
      </c>
      <c r="D827">
        <v>3051502</v>
      </c>
      <c r="E827">
        <v>3.0515020000000002</v>
      </c>
      <c r="F827">
        <v>3506</v>
      </c>
      <c r="G827">
        <v>108982.2</v>
      </c>
      <c r="H827">
        <v>384086</v>
      </c>
    </row>
    <row r="828" spans="1:8" x14ac:dyDescent="0.25">
      <c r="A828" t="s">
        <v>562</v>
      </c>
      <c r="B828" t="s">
        <v>1594</v>
      </c>
      <c r="C828">
        <v>39</v>
      </c>
      <c r="D828">
        <v>3161812</v>
      </c>
      <c r="E828">
        <v>3.1618119999999998</v>
      </c>
      <c r="F828">
        <v>10357</v>
      </c>
      <c r="G828">
        <v>81072.100000000006</v>
      </c>
      <c r="H828">
        <v>334006</v>
      </c>
    </row>
    <row r="829" spans="1:8" x14ac:dyDescent="0.25">
      <c r="A829" t="s">
        <v>563</v>
      </c>
      <c r="B829" t="s">
        <v>1594</v>
      </c>
      <c r="C829">
        <v>25</v>
      </c>
      <c r="D829">
        <v>3158670</v>
      </c>
      <c r="E829">
        <v>3.1586699999999999</v>
      </c>
      <c r="F829">
        <v>17137</v>
      </c>
      <c r="G829">
        <v>126346.8</v>
      </c>
      <c r="H829">
        <v>485496</v>
      </c>
    </row>
    <row r="830" spans="1:8" x14ac:dyDescent="0.25">
      <c r="A830" t="s">
        <v>564</v>
      </c>
      <c r="B830" t="s">
        <v>1594</v>
      </c>
      <c r="C830">
        <v>21</v>
      </c>
      <c r="D830">
        <v>2116129</v>
      </c>
      <c r="E830">
        <v>2.1161289999999999</v>
      </c>
      <c r="F830">
        <v>13578</v>
      </c>
      <c r="G830">
        <v>100768</v>
      </c>
      <c r="H830">
        <v>559987</v>
      </c>
    </row>
    <row r="831" spans="1:8" x14ac:dyDescent="0.25">
      <c r="A831" t="s">
        <v>565</v>
      </c>
      <c r="B831" t="s">
        <v>1594</v>
      </c>
      <c r="C831">
        <v>120</v>
      </c>
      <c r="D831">
        <v>2663720</v>
      </c>
      <c r="E831">
        <v>2.6637200000000001</v>
      </c>
      <c r="F831">
        <v>2550</v>
      </c>
      <c r="G831">
        <v>22197.7</v>
      </c>
      <c r="H831">
        <v>115369</v>
      </c>
    </row>
    <row r="832" spans="1:8" x14ac:dyDescent="0.25">
      <c r="A832" t="s">
        <v>566</v>
      </c>
      <c r="B832" t="s">
        <v>1594</v>
      </c>
      <c r="C832">
        <v>12</v>
      </c>
      <c r="D832">
        <v>2420636</v>
      </c>
      <c r="E832">
        <v>2.420636</v>
      </c>
      <c r="F832">
        <v>25513</v>
      </c>
      <c r="G832">
        <v>201719.7</v>
      </c>
      <c r="H832">
        <v>605662</v>
      </c>
    </row>
    <row r="833" spans="1:8" x14ac:dyDescent="0.25">
      <c r="A833" t="s">
        <v>567</v>
      </c>
      <c r="B833" t="s">
        <v>1594</v>
      </c>
      <c r="C833">
        <v>9</v>
      </c>
      <c r="D833">
        <v>2454426</v>
      </c>
      <c r="E833">
        <v>2.4544260000000002</v>
      </c>
      <c r="F833">
        <v>31537</v>
      </c>
      <c r="G833">
        <v>272714</v>
      </c>
      <c r="H833">
        <v>754670</v>
      </c>
    </row>
    <row r="834" spans="1:8" x14ac:dyDescent="0.25">
      <c r="A834" t="s">
        <v>568</v>
      </c>
      <c r="B834" t="s">
        <v>1594</v>
      </c>
      <c r="C834">
        <v>35</v>
      </c>
      <c r="D834">
        <v>1617391</v>
      </c>
      <c r="E834">
        <v>1.617391</v>
      </c>
      <c r="F834">
        <v>5246</v>
      </c>
      <c r="G834">
        <v>46211.199999999997</v>
      </c>
      <c r="H834">
        <v>145944</v>
      </c>
    </row>
    <row r="835" spans="1:8" x14ac:dyDescent="0.25">
      <c r="A835" t="s">
        <v>569</v>
      </c>
      <c r="B835" t="s">
        <v>1594</v>
      </c>
      <c r="C835">
        <v>33</v>
      </c>
      <c r="D835">
        <v>2471414</v>
      </c>
      <c r="E835">
        <v>2.4714140000000002</v>
      </c>
      <c r="F835">
        <v>5246</v>
      </c>
      <c r="G835">
        <v>74891.3</v>
      </c>
      <c r="H835">
        <v>519113</v>
      </c>
    </row>
    <row r="836" spans="1:8" x14ac:dyDescent="0.25">
      <c r="A836" t="s">
        <v>570</v>
      </c>
      <c r="B836" t="s">
        <v>1594</v>
      </c>
      <c r="C836">
        <v>16</v>
      </c>
      <c r="D836">
        <v>2614381</v>
      </c>
      <c r="E836">
        <v>2.6143809999999998</v>
      </c>
      <c r="F836">
        <v>24864</v>
      </c>
      <c r="G836">
        <v>163398.79999999999</v>
      </c>
      <c r="H836">
        <v>557284</v>
      </c>
    </row>
    <row r="837" spans="1:8" x14ac:dyDescent="0.25">
      <c r="A837" t="s">
        <v>571</v>
      </c>
      <c r="B837" t="s">
        <v>1594</v>
      </c>
      <c r="C837">
        <v>19</v>
      </c>
      <c r="D837">
        <v>2320954</v>
      </c>
      <c r="E837">
        <v>2.320954</v>
      </c>
      <c r="F837">
        <v>6348</v>
      </c>
      <c r="G837">
        <v>122155.5</v>
      </c>
      <c r="H837">
        <v>573414</v>
      </c>
    </row>
    <row r="838" spans="1:8" x14ac:dyDescent="0.25">
      <c r="A838" t="s">
        <v>572</v>
      </c>
      <c r="B838" t="s">
        <v>1594</v>
      </c>
      <c r="C838">
        <v>7</v>
      </c>
      <c r="D838">
        <v>2063446</v>
      </c>
      <c r="E838">
        <v>2.0634459999999999</v>
      </c>
      <c r="F838">
        <v>100304</v>
      </c>
      <c r="G838">
        <v>294778</v>
      </c>
      <c r="H838">
        <v>599479</v>
      </c>
    </row>
    <row r="839" spans="1:8" x14ac:dyDescent="0.25">
      <c r="A839" t="s">
        <v>573</v>
      </c>
      <c r="B839" t="s">
        <v>1594</v>
      </c>
      <c r="C839">
        <v>1</v>
      </c>
      <c r="D839">
        <v>2558786</v>
      </c>
      <c r="E839">
        <v>2.558786</v>
      </c>
      <c r="F839">
        <v>2558786</v>
      </c>
      <c r="G839">
        <v>2558786</v>
      </c>
      <c r="H839">
        <v>2558786</v>
      </c>
    </row>
    <row r="840" spans="1:8" x14ac:dyDescent="0.25">
      <c r="A840" t="s">
        <v>574</v>
      </c>
      <c r="B840" t="s">
        <v>1594</v>
      </c>
      <c r="C840">
        <v>8</v>
      </c>
      <c r="D840">
        <v>2689284</v>
      </c>
      <c r="E840">
        <v>2.6892839999999998</v>
      </c>
      <c r="F840">
        <v>58121</v>
      </c>
      <c r="G840">
        <v>336160.5</v>
      </c>
      <c r="H840">
        <v>785479</v>
      </c>
    </row>
    <row r="841" spans="1:8" x14ac:dyDescent="0.25">
      <c r="A841" t="s">
        <v>575</v>
      </c>
      <c r="B841" t="s">
        <v>1594</v>
      </c>
      <c r="C841">
        <v>7</v>
      </c>
      <c r="D841">
        <v>2374029</v>
      </c>
      <c r="E841">
        <v>2.3740290000000002</v>
      </c>
      <c r="F841">
        <v>68235</v>
      </c>
      <c r="G841">
        <v>339147</v>
      </c>
      <c r="H841">
        <v>767066</v>
      </c>
    </row>
    <row r="842" spans="1:8" x14ac:dyDescent="0.25">
      <c r="A842" t="s">
        <v>576</v>
      </c>
      <c r="B842" t="s">
        <v>1594</v>
      </c>
      <c r="C842">
        <v>177</v>
      </c>
      <c r="D842">
        <v>2104105</v>
      </c>
      <c r="E842">
        <v>2.1041050000000001</v>
      </c>
      <c r="F842">
        <v>2002</v>
      </c>
      <c r="G842">
        <v>11887.6</v>
      </c>
      <c r="H842">
        <v>83765</v>
      </c>
    </row>
    <row r="843" spans="1:8" x14ac:dyDescent="0.25">
      <c r="A843" t="s">
        <v>577</v>
      </c>
      <c r="B843" t="s">
        <v>1594</v>
      </c>
      <c r="C843">
        <v>46</v>
      </c>
      <c r="D843">
        <v>1838937</v>
      </c>
      <c r="E843">
        <v>1.838937</v>
      </c>
      <c r="F843">
        <v>2246</v>
      </c>
      <c r="G843">
        <v>39976.9</v>
      </c>
      <c r="H843">
        <v>186912</v>
      </c>
    </row>
    <row r="844" spans="1:8" x14ac:dyDescent="0.25">
      <c r="A844" t="s">
        <v>578</v>
      </c>
      <c r="B844" t="s">
        <v>1594</v>
      </c>
      <c r="C844">
        <v>57</v>
      </c>
      <c r="D844">
        <v>2233916</v>
      </c>
      <c r="E844">
        <v>2.2339159999999998</v>
      </c>
      <c r="F844">
        <v>2163</v>
      </c>
      <c r="G844">
        <v>39191.5</v>
      </c>
      <c r="H844">
        <v>195672</v>
      </c>
    </row>
    <row r="845" spans="1:8" x14ac:dyDescent="0.25">
      <c r="A845" t="s">
        <v>579</v>
      </c>
      <c r="B845" t="s">
        <v>1594</v>
      </c>
      <c r="C845">
        <v>22</v>
      </c>
      <c r="D845">
        <v>2930641</v>
      </c>
      <c r="E845">
        <v>2.9306410000000001</v>
      </c>
      <c r="F845">
        <v>18336</v>
      </c>
      <c r="G845">
        <v>133211</v>
      </c>
      <c r="H845">
        <v>665699</v>
      </c>
    </row>
    <row r="846" spans="1:8" x14ac:dyDescent="0.25">
      <c r="A846" t="s">
        <v>580</v>
      </c>
      <c r="B846" t="s">
        <v>1594</v>
      </c>
      <c r="C846">
        <v>11</v>
      </c>
      <c r="D846">
        <v>4060789</v>
      </c>
      <c r="E846">
        <v>4.0607889999999998</v>
      </c>
      <c r="F846">
        <v>28847</v>
      </c>
      <c r="G846">
        <v>369162.6</v>
      </c>
      <c r="H846">
        <v>984631</v>
      </c>
    </row>
    <row r="847" spans="1:8" x14ac:dyDescent="0.25">
      <c r="A847" t="s">
        <v>581</v>
      </c>
      <c r="B847" t="s">
        <v>1594</v>
      </c>
      <c r="C847">
        <v>25</v>
      </c>
      <c r="D847">
        <v>3980772</v>
      </c>
      <c r="E847">
        <v>3.980772</v>
      </c>
      <c r="F847">
        <v>2105</v>
      </c>
      <c r="G847">
        <v>159230.9</v>
      </c>
      <c r="H847">
        <v>3769591</v>
      </c>
    </row>
    <row r="848" spans="1:8" x14ac:dyDescent="0.25">
      <c r="A848" t="s">
        <v>582</v>
      </c>
      <c r="B848" t="s">
        <v>1594</v>
      </c>
      <c r="C848">
        <v>79</v>
      </c>
      <c r="D848">
        <v>2763708</v>
      </c>
      <c r="E848">
        <v>2.7637079999999998</v>
      </c>
      <c r="F848">
        <v>2074</v>
      </c>
      <c r="G848">
        <v>34983.599999999999</v>
      </c>
      <c r="H848">
        <v>144328</v>
      </c>
    </row>
    <row r="849" spans="1:8" x14ac:dyDescent="0.25">
      <c r="A849" t="s">
        <v>583</v>
      </c>
      <c r="B849" t="s">
        <v>1594</v>
      </c>
      <c r="C849">
        <v>6</v>
      </c>
      <c r="D849">
        <v>3036418</v>
      </c>
      <c r="E849">
        <v>3.0364179999999998</v>
      </c>
      <c r="F849">
        <v>228835</v>
      </c>
      <c r="G849">
        <v>506069.7</v>
      </c>
      <c r="H849">
        <v>771214</v>
      </c>
    </row>
    <row r="850" spans="1:8" x14ac:dyDescent="0.25">
      <c r="A850" t="s">
        <v>584</v>
      </c>
      <c r="B850" t="s">
        <v>1594</v>
      </c>
      <c r="C850">
        <v>10</v>
      </c>
      <c r="D850">
        <v>3094308</v>
      </c>
      <c r="E850">
        <v>3.0943079999999998</v>
      </c>
      <c r="F850">
        <v>9764</v>
      </c>
      <c r="G850">
        <v>309430.8</v>
      </c>
      <c r="H850">
        <v>1060301</v>
      </c>
    </row>
    <row r="851" spans="1:8" x14ac:dyDescent="0.25">
      <c r="A851" t="s">
        <v>585</v>
      </c>
      <c r="B851" t="s">
        <v>1594</v>
      </c>
      <c r="C851">
        <v>19</v>
      </c>
      <c r="D851">
        <v>3078618</v>
      </c>
      <c r="E851">
        <v>3.0786180000000001</v>
      </c>
      <c r="F851">
        <v>2161</v>
      </c>
      <c r="G851">
        <v>162032.5</v>
      </c>
      <c r="H851">
        <v>649917</v>
      </c>
    </row>
    <row r="852" spans="1:8" x14ac:dyDescent="0.25">
      <c r="A852" t="s">
        <v>586</v>
      </c>
      <c r="B852" t="s">
        <v>1594</v>
      </c>
      <c r="C852">
        <v>2</v>
      </c>
      <c r="D852">
        <v>3657779</v>
      </c>
      <c r="E852">
        <v>3.6577790000000001</v>
      </c>
      <c r="F852">
        <v>49125</v>
      </c>
      <c r="G852">
        <v>1828889.5</v>
      </c>
      <c r="H852">
        <v>3608654</v>
      </c>
    </row>
    <row r="853" spans="1:8" x14ac:dyDescent="0.25">
      <c r="A853" t="s">
        <v>587</v>
      </c>
      <c r="B853" t="s">
        <v>1594</v>
      </c>
      <c r="C853">
        <v>3</v>
      </c>
      <c r="D853">
        <v>3985118</v>
      </c>
      <c r="E853">
        <v>3.9851179999999999</v>
      </c>
      <c r="F853">
        <v>156453</v>
      </c>
      <c r="G853">
        <v>1328372.7</v>
      </c>
      <c r="H853">
        <v>3477972</v>
      </c>
    </row>
    <row r="854" spans="1:8" x14ac:dyDescent="0.25">
      <c r="A854" t="s">
        <v>588</v>
      </c>
      <c r="B854" t="s">
        <v>1594</v>
      </c>
      <c r="C854">
        <v>1</v>
      </c>
      <c r="D854">
        <v>638818</v>
      </c>
      <c r="E854">
        <v>0.638818</v>
      </c>
      <c r="F854">
        <v>638818</v>
      </c>
      <c r="G854">
        <v>638818</v>
      </c>
      <c r="H854">
        <v>638818</v>
      </c>
    </row>
    <row r="855" spans="1:8" x14ac:dyDescent="0.25">
      <c r="A855" t="s">
        <v>589</v>
      </c>
      <c r="B855" t="s">
        <v>1594</v>
      </c>
      <c r="C855">
        <v>7</v>
      </c>
      <c r="D855">
        <v>1842764</v>
      </c>
      <c r="E855">
        <v>1.8427640000000001</v>
      </c>
      <c r="F855">
        <v>2358</v>
      </c>
      <c r="G855">
        <v>263252</v>
      </c>
      <c r="H855">
        <v>1147748</v>
      </c>
    </row>
    <row r="856" spans="1:8" x14ac:dyDescent="0.25">
      <c r="A856" t="s">
        <v>837</v>
      </c>
      <c r="B856" t="s">
        <v>1594</v>
      </c>
      <c r="C856">
        <v>22</v>
      </c>
      <c r="D856">
        <v>3065306</v>
      </c>
      <c r="E856">
        <v>3.0653060000000001</v>
      </c>
      <c r="F856">
        <v>10939</v>
      </c>
      <c r="G856">
        <v>139332.1</v>
      </c>
      <c r="H856">
        <v>343006</v>
      </c>
    </row>
    <row r="857" spans="1:8" x14ac:dyDescent="0.25">
      <c r="A857" t="s">
        <v>838</v>
      </c>
      <c r="B857" t="s">
        <v>1594</v>
      </c>
      <c r="C857">
        <v>27</v>
      </c>
      <c r="D857">
        <v>2616747</v>
      </c>
      <c r="E857">
        <v>2.6167470000000002</v>
      </c>
      <c r="F857">
        <v>5752</v>
      </c>
      <c r="G857">
        <v>96916.6</v>
      </c>
      <c r="H857">
        <v>295853</v>
      </c>
    </row>
    <row r="858" spans="1:8" x14ac:dyDescent="0.25">
      <c r="A858" t="s">
        <v>839</v>
      </c>
      <c r="B858" t="s">
        <v>1594</v>
      </c>
      <c r="C858">
        <v>28</v>
      </c>
      <c r="D858">
        <v>1926867</v>
      </c>
      <c r="E858">
        <v>1.9268670000000001</v>
      </c>
      <c r="F858">
        <v>2632</v>
      </c>
      <c r="G858">
        <v>68816.7</v>
      </c>
      <c r="H858">
        <v>160736</v>
      </c>
    </row>
    <row r="859" spans="1:8" x14ac:dyDescent="0.25">
      <c r="A859" t="s">
        <v>840</v>
      </c>
      <c r="B859" t="s">
        <v>1594</v>
      </c>
      <c r="C859">
        <v>39</v>
      </c>
      <c r="D859">
        <v>1926533</v>
      </c>
      <c r="E859">
        <v>1.9265330000000001</v>
      </c>
      <c r="F859">
        <v>5430</v>
      </c>
      <c r="G859">
        <v>49398.3</v>
      </c>
      <c r="H859">
        <v>109704</v>
      </c>
    </row>
    <row r="860" spans="1:8" x14ac:dyDescent="0.25">
      <c r="A860" t="s">
        <v>841</v>
      </c>
      <c r="B860" t="s">
        <v>1594</v>
      </c>
      <c r="C860">
        <v>47</v>
      </c>
      <c r="D860">
        <v>2111938</v>
      </c>
      <c r="E860">
        <v>2.1119379999999999</v>
      </c>
      <c r="F860">
        <v>2928</v>
      </c>
      <c r="G860">
        <v>44934.9</v>
      </c>
      <c r="H860">
        <v>201396</v>
      </c>
    </row>
    <row r="861" spans="1:8" x14ac:dyDescent="0.25">
      <c r="A861" t="s">
        <v>842</v>
      </c>
      <c r="B861" t="s">
        <v>1594</v>
      </c>
      <c r="C861">
        <v>74</v>
      </c>
      <c r="D861">
        <v>2161064</v>
      </c>
      <c r="E861">
        <v>2.1610640000000001</v>
      </c>
      <c r="F861">
        <v>2047</v>
      </c>
      <c r="G861">
        <v>29203.599999999999</v>
      </c>
      <c r="H861">
        <v>176499</v>
      </c>
    </row>
    <row r="862" spans="1:8" x14ac:dyDescent="0.25">
      <c r="A862" t="s">
        <v>843</v>
      </c>
      <c r="B862" t="s">
        <v>1594</v>
      </c>
      <c r="C862">
        <v>144</v>
      </c>
      <c r="D862">
        <v>1755520</v>
      </c>
      <c r="E862">
        <v>1.75552</v>
      </c>
      <c r="F862">
        <v>2025</v>
      </c>
      <c r="G862">
        <v>12191.1</v>
      </c>
      <c r="H862">
        <v>191768</v>
      </c>
    </row>
    <row r="863" spans="1:8" x14ac:dyDescent="0.25">
      <c r="A863" t="s">
        <v>844</v>
      </c>
      <c r="B863" t="s">
        <v>1594</v>
      </c>
      <c r="C863">
        <v>50</v>
      </c>
      <c r="D863">
        <v>1830008</v>
      </c>
      <c r="E863">
        <v>1.8300080000000001</v>
      </c>
      <c r="F863">
        <v>2116</v>
      </c>
      <c r="G863">
        <v>36600.199999999997</v>
      </c>
      <c r="H863">
        <v>258931</v>
      </c>
    </row>
    <row r="864" spans="1:8" x14ac:dyDescent="0.25">
      <c r="A864" t="s">
        <v>845</v>
      </c>
      <c r="B864" t="s">
        <v>1594</v>
      </c>
      <c r="C864">
        <v>34</v>
      </c>
      <c r="D864">
        <v>1564145</v>
      </c>
      <c r="E864">
        <v>1.5641449999999999</v>
      </c>
      <c r="F864">
        <v>2505</v>
      </c>
      <c r="G864">
        <v>46004.3</v>
      </c>
      <c r="H864">
        <v>199331</v>
      </c>
    </row>
    <row r="865" spans="1:8" x14ac:dyDescent="0.25">
      <c r="A865" t="s">
        <v>846</v>
      </c>
      <c r="B865" t="s">
        <v>1594</v>
      </c>
      <c r="C865">
        <v>3</v>
      </c>
      <c r="D865">
        <v>2122721</v>
      </c>
      <c r="E865">
        <v>2.1227209999999999</v>
      </c>
      <c r="F865">
        <v>557091</v>
      </c>
      <c r="G865">
        <v>707573.7</v>
      </c>
      <c r="H865">
        <v>995183</v>
      </c>
    </row>
    <row r="866" spans="1:8" x14ac:dyDescent="0.25">
      <c r="A866" t="s">
        <v>847</v>
      </c>
      <c r="B866" t="s">
        <v>1594</v>
      </c>
      <c r="C866">
        <v>29</v>
      </c>
      <c r="D866">
        <v>2116042</v>
      </c>
      <c r="E866">
        <v>2.1160420000000002</v>
      </c>
      <c r="F866">
        <v>2154</v>
      </c>
      <c r="G866">
        <v>72967</v>
      </c>
      <c r="H866">
        <v>266925</v>
      </c>
    </row>
    <row r="867" spans="1:8" x14ac:dyDescent="0.25">
      <c r="A867" t="s">
        <v>848</v>
      </c>
      <c r="B867" t="s">
        <v>1594</v>
      </c>
      <c r="C867">
        <v>24</v>
      </c>
      <c r="D867">
        <v>2681109</v>
      </c>
      <c r="E867">
        <v>2.6811090000000002</v>
      </c>
      <c r="F867">
        <v>8880</v>
      </c>
      <c r="G867">
        <v>111712.9</v>
      </c>
      <c r="H867">
        <v>326640</v>
      </c>
    </row>
    <row r="868" spans="1:8" x14ac:dyDescent="0.25">
      <c r="A868" t="s">
        <v>849</v>
      </c>
      <c r="B868" t="s">
        <v>1594</v>
      </c>
      <c r="C868">
        <v>14</v>
      </c>
      <c r="D868">
        <v>2050273</v>
      </c>
      <c r="E868">
        <v>2.0502729999999998</v>
      </c>
      <c r="F868">
        <v>2148</v>
      </c>
      <c r="G868">
        <v>146448.1</v>
      </c>
      <c r="H868">
        <v>531630</v>
      </c>
    </row>
    <row r="869" spans="1:8" x14ac:dyDescent="0.25">
      <c r="A869" t="s">
        <v>850</v>
      </c>
      <c r="B869" t="s">
        <v>1594</v>
      </c>
      <c r="C869">
        <v>69</v>
      </c>
      <c r="D869">
        <v>1972104</v>
      </c>
      <c r="E869">
        <v>1.9721040000000001</v>
      </c>
      <c r="F869">
        <v>2005</v>
      </c>
      <c r="G869">
        <v>28581.200000000001</v>
      </c>
      <c r="H869">
        <v>185046</v>
      </c>
    </row>
    <row r="870" spans="1:8" x14ac:dyDescent="0.25">
      <c r="A870" t="s">
        <v>851</v>
      </c>
      <c r="B870" t="s">
        <v>1594</v>
      </c>
      <c r="C870">
        <v>66</v>
      </c>
      <c r="D870">
        <v>2169269</v>
      </c>
      <c r="E870">
        <v>2.1692689999999999</v>
      </c>
      <c r="F870">
        <v>2005</v>
      </c>
      <c r="G870">
        <v>32867.699999999997</v>
      </c>
      <c r="H870">
        <v>203763</v>
      </c>
    </row>
    <row r="871" spans="1:8" x14ac:dyDescent="0.25">
      <c r="A871" t="s">
        <v>852</v>
      </c>
      <c r="B871" t="s">
        <v>1594</v>
      </c>
      <c r="C871">
        <v>15</v>
      </c>
      <c r="D871">
        <v>1403348</v>
      </c>
      <c r="E871">
        <v>1.403348</v>
      </c>
      <c r="F871">
        <v>9357</v>
      </c>
      <c r="G871">
        <v>93556.5</v>
      </c>
      <c r="H871">
        <v>247048</v>
      </c>
    </row>
    <row r="872" spans="1:8" x14ac:dyDescent="0.25">
      <c r="A872" t="s">
        <v>853</v>
      </c>
      <c r="B872" t="s">
        <v>1594</v>
      </c>
      <c r="C872">
        <v>42</v>
      </c>
      <c r="D872">
        <v>1993280</v>
      </c>
      <c r="E872">
        <v>1.9932799999999999</v>
      </c>
      <c r="F872">
        <v>3013</v>
      </c>
      <c r="G872">
        <v>47459</v>
      </c>
      <c r="H872">
        <v>275634</v>
      </c>
    </row>
    <row r="873" spans="1:8" x14ac:dyDescent="0.25">
      <c r="A873" t="s">
        <v>854</v>
      </c>
      <c r="B873" t="s">
        <v>1594</v>
      </c>
      <c r="C873">
        <v>58</v>
      </c>
      <c r="D873">
        <v>1589222</v>
      </c>
      <c r="E873">
        <v>1.5892219999999999</v>
      </c>
      <c r="F873">
        <v>2007</v>
      </c>
      <c r="G873">
        <v>27400.400000000001</v>
      </c>
      <c r="H873">
        <v>126120</v>
      </c>
    </row>
    <row r="874" spans="1:8" x14ac:dyDescent="0.25">
      <c r="A874" t="s">
        <v>855</v>
      </c>
      <c r="B874" t="s">
        <v>1594</v>
      </c>
      <c r="C874">
        <v>45</v>
      </c>
      <c r="D874">
        <v>3864072</v>
      </c>
      <c r="E874">
        <v>3.8640720000000002</v>
      </c>
      <c r="F874">
        <v>6517</v>
      </c>
      <c r="G874">
        <v>85868.3</v>
      </c>
      <c r="H874">
        <v>343277</v>
      </c>
    </row>
    <row r="875" spans="1:8" x14ac:dyDescent="0.25">
      <c r="A875" t="s">
        <v>856</v>
      </c>
      <c r="B875" t="s">
        <v>1594</v>
      </c>
      <c r="C875">
        <v>42</v>
      </c>
      <c r="D875">
        <v>2891617</v>
      </c>
      <c r="E875">
        <v>2.8916170000000001</v>
      </c>
      <c r="F875">
        <v>2562</v>
      </c>
      <c r="G875">
        <v>68848</v>
      </c>
      <c r="H875">
        <v>289355</v>
      </c>
    </row>
    <row r="876" spans="1:8" x14ac:dyDescent="0.25">
      <c r="A876" t="s">
        <v>857</v>
      </c>
      <c r="B876" t="s">
        <v>1594</v>
      </c>
      <c r="C876">
        <v>39</v>
      </c>
      <c r="D876">
        <v>3448967</v>
      </c>
      <c r="E876">
        <v>3.4489670000000001</v>
      </c>
      <c r="F876">
        <v>2923</v>
      </c>
      <c r="G876">
        <v>88435.1</v>
      </c>
      <c r="H876">
        <v>374451</v>
      </c>
    </row>
    <row r="877" spans="1:8" x14ac:dyDescent="0.25">
      <c r="A877" t="s">
        <v>858</v>
      </c>
      <c r="B877" t="s">
        <v>1594</v>
      </c>
      <c r="C877">
        <v>13</v>
      </c>
      <c r="D877">
        <v>3442769</v>
      </c>
      <c r="E877">
        <v>3.4427690000000002</v>
      </c>
      <c r="F877">
        <v>5074</v>
      </c>
      <c r="G877">
        <v>264828.40000000002</v>
      </c>
      <c r="H877">
        <v>2622050</v>
      </c>
    </row>
    <row r="878" spans="1:8" x14ac:dyDescent="0.25">
      <c r="A878" t="s">
        <v>859</v>
      </c>
      <c r="B878" t="s">
        <v>1594</v>
      </c>
      <c r="C878">
        <v>5</v>
      </c>
      <c r="D878">
        <v>1272781</v>
      </c>
      <c r="E878">
        <v>1.2727809999999999</v>
      </c>
      <c r="F878">
        <v>51062</v>
      </c>
      <c r="G878">
        <v>254556.2</v>
      </c>
      <c r="H878">
        <v>794033</v>
      </c>
    </row>
    <row r="879" spans="1:8" x14ac:dyDescent="0.25">
      <c r="A879" t="s">
        <v>860</v>
      </c>
      <c r="B879" t="s">
        <v>1594</v>
      </c>
      <c r="C879">
        <v>26</v>
      </c>
      <c r="D879">
        <v>3358749</v>
      </c>
      <c r="E879">
        <v>3.358749</v>
      </c>
      <c r="F879">
        <v>20722</v>
      </c>
      <c r="G879">
        <v>129182.7</v>
      </c>
      <c r="H879">
        <v>541379</v>
      </c>
    </row>
    <row r="880" spans="1:8" x14ac:dyDescent="0.25">
      <c r="A880" t="s">
        <v>861</v>
      </c>
      <c r="B880" t="s">
        <v>1594</v>
      </c>
      <c r="C880">
        <v>31</v>
      </c>
      <c r="D880">
        <v>3236700</v>
      </c>
      <c r="E880">
        <v>3.2366999999999999</v>
      </c>
      <c r="F880">
        <v>5790</v>
      </c>
      <c r="G880">
        <v>104409.7</v>
      </c>
      <c r="H880">
        <v>428546</v>
      </c>
    </row>
    <row r="881" spans="1:8" x14ac:dyDescent="0.25">
      <c r="A881" t="s">
        <v>862</v>
      </c>
      <c r="B881" t="s">
        <v>1594</v>
      </c>
      <c r="C881">
        <v>24</v>
      </c>
      <c r="D881">
        <v>3779337</v>
      </c>
      <c r="E881">
        <v>3.7793369999999999</v>
      </c>
      <c r="F881">
        <v>3401</v>
      </c>
      <c r="G881">
        <v>157472.4</v>
      </c>
      <c r="H881">
        <v>563894</v>
      </c>
    </row>
    <row r="882" spans="1:8" x14ac:dyDescent="0.25">
      <c r="A882" t="s">
        <v>863</v>
      </c>
      <c r="B882" t="s">
        <v>1594</v>
      </c>
      <c r="C882">
        <v>12</v>
      </c>
      <c r="D882">
        <v>6216273</v>
      </c>
      <c r="E882">
        <v>6.2162730000000002</v>
      </c>
      <c r="F882">
        <v>21410</v>
      </c>
      <c r="G882">
        <v>518022.8</v>
      </c>
      <c r="H882">
        <v>1777489</v>
      </c>
    </row>
    <row r="883" spans="1:8" x14ac:dyDescent="0.25">
      <c r="A883" t="s">
        <v>864</v>
      </c>
      <c r="B883" t="s">
        <v>1594</v>
      </c>
      <c r="C883">
        <v>16</v>
      </c>
      <c r="D883">
        <v>3147320</v>
      </c>
      <c r="E883">
        <v>3.1473200000000001</v>
      </c>
      <c r="F883">
        <v>3306</v>
      </c>
      <c r="G883">
        <v>196707.5</v>
      </c>
      <c r="H883">
        <v>611021</v>
      </c>
    </row>
    <row r="884" spans="1:8" x14ac:dyDescent="0.25">
      <c r="A884" t="s">
        <v>865</v>
      </c>
      <c r="B884" t="s">
        <v>1594</v>
      </c>
      <c r="C884">
        <v>42</v>
      </c>
      <c r="D884">
        <v>4423089</v>
      </c>
      <c r="E884">
        <v>4.423089</v>
      </c>
      <c r="F884">
        <v>2062</v>
      </c>
      <c r="G884">
        <v>105311.6</v>
      </c>
      <c r="H884">
        <v>413326</v>
      </c>
    </row>
    <row r="885" spans="1:8" x14ac:dyDescent="0.25">
      <c r="A885" t="s">
        <v>866</v>
      </c>
      <c r="B885" t="s">
        <v>1594</v>
      </c>
      <c r="C885">
        <v>39</v>
      </c>
      <c r="D885">
        <v>3655859</v>
      </c>
      <c r="E885">
        <v>3.655859</v>
      </c>
      <c r="F885">
        <v>2078</v>
      </c>
      <c r="G885">
        <v>93740</v>
      </c>
      <c r="H885">
        <v>392437</v>
      </c>
    </row>
    <row r="886" spans="1:8" x14ac:dyDescent="0.25">
      <c r="A886" t="s">
        <v>867</v>
      </c>
      <c r="B886" t="s">
        <v>1594</v>
      </c>
      <c r="C886">
        <v>72</v>
      </c>
      <c r="D886">
        <v>4984592</v>
      </c>
      <c r="E886">
        <v>4.9845920000000001</v>
      </c>
      <c r="F886">
        <v>3908</v>
      </c>
      <c r="G886">
        <v>69230.399999999994</v>
      </c>
      <c r="H886">
        <v>357849</v>
      </c>
    </row>
    <row r="887" spans="1:8" x14ac:dyDescent="0.25">
      <c r="A887" t="s">
        <v>868</v>
      </c>
      <c r="B887" t="s">
        <v>1594</v>
      </c>
      <c r="C887">
        <v>55</v>
      </c>
      <c r="D887">
        <v>4191099</v>
      </c>
      <c r="E887">
        <v>4.1910990000000004</v>
      </c>
      <c r="F887">
        <v>4119</v>
      </c>
      <c r="G887">
        <v>76201.8</v>
      </c>
      <c r="H887">
        <v>295861</v>
      </c>
    </row>
    <row r="888" spans="1:8" x14ac:dyDescent="0.25">
      <c r="A888" t="s">
        <v>869</v>
      </c>
      <c r="B888" t="s">
        <v>1594</v>
      </c>
      <c r="C888">
        <v>58</v>
      </c>
      <c r="D888">
        <v>3750773</v>
      </c>
      <c r="E888">
        <v>3.7507730000000001</v>
      </c>
      <c r="F888">
        <v>2009</v>
      </c>
      <c r="G888">
        <v>64668.5</v>
      </c>
      <c r="H888">
        <v>469191</v>
      </c>
    </row>
    <row r="889" spans="1:8" x14ac:dyDescent="0.25">
      <c r="A889" t="s">
        <v>870</v>
      </c>
      <c r="B889" t="s">
        <v>1594</v>
      </c>
      <c r="C889">
        <v>20</v>
      </c>
      <c r="D889">
        <v>4026999</v>
      </c>
      <c r="E889">
        <v>4.026999</v>
      </c>
      <c r="F889">
        <v>5800</v>
      </c>
      <c r="G889">
        <v>201350</v>
      </c>
      <c r="H889">
        <v>692428</v>
      </c>
    </row>
    <row r="890" spans="1:8" x14ac:dyDescent="0.25">
      <c r="A890" t="s">
        <v>871</v>
      </c>
      <c r="B890" t="s">
        <v>1594</v>
      </c>
      <c r="C890">
        <v>31</v>
      </c>
      <c r="D890">
        <v>3830353</v>
      </c>
      <c r="E890">
        <v>3.8303530000000001</v>
      </c>
      <c r="F890">
        <v>4565</v>
      </c>
      <c r="G890">
        <v>123559.8</v>
      </c>
      <c r="H890">
        <v>734964</v>
      </c>
    </row>
    <row r="891" spans="1:8" x14ac:dyDescent="0.25">
      <c r="A891" t="s">
        <v>872</v>
      </c>
      <c r="B891" t="s">
        <v>1594</v>
      </c>
      <c r="C891">
        <v>14</v>
      </c>
      <c r="D891">
        <v>5371082</v>
      </c>
      <c r="E891">
        <v>5.3710820000000004</v>
      </c>
      <c r="F891">
        <v>16528</v>
      </c>
      <c r="G891">
        <v>383648.7</v>
      </c>
      <c r="H891">
        <v>977223</v>
      </c>
    </row>
    <row r="892" spans="1:8" x14ac:dyDescent="0.25">
      <c r="A892" t="s">
        <v>873</v>
      </c>
      <c r="B892" t="s">
        <v>1594</v>
      </c>
      <c r="C892">
        <v>12</v>
      </c>
      <c r="D892">
        <v>3118888</v>
      </c>
      <c r="E892">
        <v>3.1188880000000001</v>
      </c>
      <c r="F892">
        <v>15826</v>
      </c>
      <c r="G892">
        <v>259907.3</v>
      </c>
      <c r="H892">
        <v>1206213</v>
      </c>
    </row>
    <row r="893" spans="1:8" x14ac:dyDescent="0.25">
      <c r="A893" t="s">
        <v>874</v>
      </c>
      <c r="B893" t="s">
        <v>1594</v>
      </c>
      <c r="C893">
        <v>44</v>
      </c>
      <c r="D893">
        <v>3403116</v>
      </c>
      <c r="E893">
        <v>3.4031159999999998</v>
      </c>
      <c r="F893">
        <v>8620</v>
      </c>
      <c r="G893">
        <v>77343.5</v>
      </c>
      <c r="H893">
        <v>326978</v>
      </c>
    </row>
    <row r="894" spans="1:8" x14ac:dyDescent="0.25">
      <c r="A894" t="s">
        <v>875</v>
      </c>
      <c r="B894" t="s">
        <v>1594</v>
      </c>
      <c r="C894">
        <v>8</v>
      </c>
      <c r="D894">
        <v>2180087</v>
      </c>
      <c r="E894">
        <v>2.1800869999999999</v>
      </c>
      <c r="F894">
        <v>65232</v>
      </c>
      <c r="G894">
        <v>272510.90000000002</v>
      </c>
      <c r="H894">
        <v>591613</v>
      </c>
    </row>
    <row r="895" spans="1:8" x14ac:dyDescent="0.25">
      <c r="A895" t="s">
        <v>876</v>
      </c>
      <c r="B895" t="s">
        <v>1594</v>
      </c>
      <c r="C895">
        <v>22</v>
      </c>
      <c r="D895">
        <v>1971827</v>
      </c>
      <c r="E895">
        <v>1.971827</v>
      </c>
      <c r="F895">
        <v>5896</v>
      </c>
      <c r="G895">
        <v>89628.5</v>
      </c>
      <c r="H895">
        <v>366717</v>
      </c>
    </row>
    <row r="896" spans="1:8" x14ac:dyDescent="0.25">
      <c r="A896" t="s">
        <v>877</v>
      </c>
      <c r="B896" t="s">
        <v>1594</v>
      </c>
      <c r="C896">
        <v>49</v>
      </c>
      <c r="D896">
        <v>2444336</v>
      </c>
      <c r="E896">
        <v>2.4443359999999998</v>
      </c>
      <c r="F896">
        <v>3697</v>
      </c>
      <c r="G896">
        <v>49884.4</v>
      </c>
      <c r="H896">
        <v>233877</v>
      </c>
    </row>
    <row r="897" spans="1:8" x14ac:dyDescent="0.25">
      <c r="A897" t="s">
        <v>878</v>
      </c>
      <c r="B897" t="s">
        <v>1594</v>
      </c>
      <c r="C897">
        <v>26</v>
      </c>
      <c r="D897">
        <v>1499343</v>
      </c>
      <c r="E897">
        <v>1.4993430000000001</v>
      </c>
      <c r="F897">
        <v>8063</v>
      </c>
      <c r="G897">
        <v>57667</v>
      </c>
      <c r="H897">
        <v>140516</v>
      </c>
    </row>
    <row r="898" spans="1:8" x14ac:dyDescent="0.25">
      <c r="A898" t="s">
        <v>879</v>
      </c>
      <c r="B898" t="s">
        <v>1594</v>
      </c>
      <c r="C898">
        <v>68</v>
      </c>
      <c r="D898">
        <v>2949822</v>
      </c>
      <c r="E898">
        <v>2.9498220000000002</v>
      </c>
      <c r="F898">
        <v>2523</v>
      </c>
      <c r="G898">
        <v>43379.7</v>
      </c>
      <c r="H898">
        <v>251612</v>
      </c>
    </row>
    <row r="899" spans="1:8" x14ac:dyDescent="0.25">
      <c r="A899" t="s">
        <v>880</v>
      </c>
      <c r="B899" t="s">
        <v>1594</v>
      </c>
      <c r="C899">
        <v>24</v>
      </c>
      <c r="D899">
        <v>3480195</v>
      </c>
      <c r="E899">
        <v>3.4801950000000001</v>
      </c>
      <c r="F899">
        <v>17100</v>
      </c>
      <c r="G899">
        <v>145008.1</v>
      </c>
      <c r="H899">
        <v>473823</v>
      </c>
    </row>
    <row r="900" spans="1:8" x14ac:dyDescent="0.25">
      <c r="A900" t="s">
        <v>881</v>
      </c>
      <c r="B900" t="s">
        <v>1594</v>
      </c>
      <c r="C900">
        <v>33</v>
      </c>
      <c r="D900">
        <v>3360777</v>
      </c>
      <c r="E900">
        <v>3.3607770000000001</v>
      </c>
      <c r="F900">
        <v>5175</v>
      </c>
      <c r="G900">
        <v>101841.7</v>
      </c>
      <c r="H900">
        <v>390811</v>
      </c>
    </row>
    <row r="901" spans="1:8" x14ac:dyDescent="0.25">
      <c r="A901" t="s">
        <v>882</v>
      </c>
      <c r="B901" t="s">
        <v>1594</v>
      </c>
      <c r="C901">
        <v>15</v>
      </c>
      <c r="D901">
        <v>1741031</v>
      </c>
      <c r="E901">
        <v>1.741031</v>
      </c>
      <c r="F901">
        <v>48517</v>
      </c>
      <c r="G901">
        <v>116068.7</v>
      </c>
      <c r="H901">
        <v>289126</v>
      </c>
    </row>
    <row r="902" spans="1:8" x14ac:dyDescent="0.25">
      <c r="A902" t="s">
        <v>883</v>
      </c>
      <c r="B902" t="s">
        <v>1594</v>
      </c>
      <c r="C902">
        <v>34</v>
      </c>
      <c r="D902">
        <v>1599596</v>
      </c>
      <c r="E902">
        <v>1.599596</v>
      </c>
      <c r="F902">
        <v>8313</v>
      </c>
      <c r="G902">
        <v>47046.9</v>
      </c>
      <c r="H902">
        <v>121647</v>
      </c>
    </row>
    <row r="903" spans="1:8" x14ac:dyDescent="0.25">
      <c r="A903" t="s">
        <v>884</v>
      </c>
      <c r="B903" t="s">
        <v>1594</v>
      </c>
      <c r="C903">
        <v>13</v>
      </c>
      <c r="D903">
        <v>4108978</v>
      </c>
      <c r="E903">
        <v>4.1089779999999996</v>
      </c>
      <c r="F903">
        <v>10621</v>
      </c>
      <c r="G903">
        <v>316075.2</v>
      </c>
      <c r="H903">
        <v>1142511</v>
      </c>
    </row>
    <row r="904" spans="1:8" x14ac:dyDescent="0.25">
      <c r="A904" t="s">
        <v>885</v>
      </c>
      <c r="B904" t="s">
        <v>1594</v>
      </c>
      <c r="C904">
        <v>10</v>
      </c>
      <c r="D904">
        <v>3742915</v>
      </c>
      <c r="E904">
        <v>3.742915</v>
      </c>
      <c r="F904">
        <v>103166</v>
      </c>
      <c r="G904">
        <v>374291.5</v>
      </c>
      <c r="H904">
        <v>892911</v>
      </c>
    </row>
    <row r="905" spans="1:8" x14ac:dyDescent="0.25">
      <c r="A905" t="s">
        <v>886</v>
      </c>
      <c r="B905" t="s">
        <v>1594</v>
      </c>
      <c r="C905">
        <v>24</v>
      </c>
      <c r="D905">
        <v>4761197</v>
      </c>
      <c r="E905">
        <v>4.7611970000000001</v>
      </c>
      <c r="F905">
        <v>6826</v>
      </c>
      <c r="G905">
        <v>198383.2</v>
      </c>
      <c r="H905">
        <v>772701</v>
      </c>
    </row>
    <row r="906" spans="1:8" x14ac:dyDescent="0.25">
      <c r="A906" t="s">
        <v>887</v>
      </c>
      <c r="B906" t="s">
        <v>1594</v>
      </c>
      <c r="C906">
        <v>3</v>
      </c>
      <c r="D906">
        <v>2656726</v>
      </c>
      <c r="E906">
        <v>2.6567259999999999</v>
      </c>
      <c r="F906">
        <v>179309</v>
      </c>
      <c r="G906">
        <v>885575.3</v>
      </c>
      <c r="H906">
        <v>1918869</v>
      </c>
    </row>
    <row r="907" spans="1:8" x14ac:dyDescent="0.25">
      <c r="A907" t="s">
        <v>888</v>
      </c>
      <c r="B907" t="s">
        <v>1594</v>
      </c>
      <c r="C907">
        <v>19</v>
      </c>
      <c r="D907">
        <v>3808580</v>
      </c>
      <c r="E907">
        <v>3.8085800000000001</v>
      </c>
      <c r="F907">
        <v>34862</v>
      </c>
      <c r="G907">
        <v>200451.6</v>
      </c>
      <c r="H907">
        <v>1033909</v>
      </c>
    </row>
    <row r="908" spans="1:8" x14ac:dyDescent="0.25">
      <c r="A908" t="s">
        <v>889</v>
      </c>
      <c r="B908" t="s">
        <v>1594</v>
      </c>
      <c r="C908">
        <v>10</v>
      </c>
      <c r="D908">
        <v>2736352</v>
      </c>
      <c r="E908">
        <v>2.7363520000000001</v>
      </c>
      <c r="F908">
        <v>37482</v>
      </c>
      <c r="G908">
        <v>273635.20000000001</v>
      </c>
      <c r="H908">
        <v>915300</v>
      </c>
    </row>
    <row r="909" spans="1:8" x14ac:dyDescent="0.25">
      <c r="A909" t="s">
        <v>890</v>
      </c>
      <c r="B909" t="s">
        <v>1594</v>
      </c>
      <c r="C909">
        <v>48</v>
      </c>
      <c r="D909">
        <v>1862203</v>
      </c>
      <c r="E909">
        <v>1.8622030000000001</v>
      </c>
      <c r="F909">
        <v>7890</v>
      </c>
      <c r="G909">
        <v>38795.9</v>
      </c>
      <c r="H909">
        <v>122886</v>
      </c>
    </row>
    <row r="910" spans="1:8" x14ac:dyDescent="0.25">
      <c r="A910" t="s">
        <v>891</v>
      </c>
      <c r="B910" t="s">
        <v>1594</v>
      </c>
      <c r="C910">
        <v>7</v>
      </c>
      <c r="D910">
        <v>1876659</v>
      </c>
      <c r="E910">
        <v>1.8766590000000001</v>
      </c>
      <c r="F910">
        <v>11062</v>
      </c>
      <c r="G910">
        <v>268094.09999999998</v>
      </c>
      <c r="H910">
        <v>1194105</v>
      </c>
    </row>
    <row r="911" spans="1:8" x14ac:dyDescent="0.25">
      <c r="A911" t="s">
        <v>892</v>
      </c>
      <c r="B911" t="s">
        <v>1594</v>
      </c>
      <c r="C911">
        <v>46</v>
      </c>
      <c r="D911">
        <v>1838168</v>
      </c>
      <c r="E911">
        <v>1.838168</v>
      </c>
      <c r="F911">
        <v>2566</v>
      </c>
      <c r="G911">
        <v>39960.199999999997</v>
      </c>
      <c r="H911">
        <v>301052</v>
      </c>
    </row>
    <row r="912" spans="1:8" x14ac:dyDescent="0.25">
      <c r="A912" t="s">
        <v>893</v>
      </c>
      <c r="B912" t="s">
        <v>1594</v>
      </c>
      <c r="C912">
        <v>5</v>
      </c>
      <c r="D912">
        <v>2487200</v>
      </c>
      <c r="E912">
        <v>2.4872000000000001</v>
      </c>
      <c r="F912">
        <v>34279</v>
      </c>
      <c r="G912">
        <v>497440</v>
      </c>
      <c r="H912">
        <v>1052582</v>
      </c>
    </row>
    <row r="913" spans="1:8" x14ac:dyDescent="0.25">
      <c r="A913" t="s">
        <v>894</v>
      </c>
      <c r="B913" t="s">
        <v>1594</v>
      </c>
      <c r="C913">
        <v>39</v>
      </c>
      <c r="D913">
        <v>2515288</v>
      </c>
      <c r="E913">
        <v>2.515288</v>
      </c>
      <c r="F913">
        <v>6620</v>
      </c>
      <c r="G913">
        <v>64494.6</v>
      </c>
      <c r="H913">
        <v>433066</v>
      </c>
    </row>
    <row r="914" spans="1:8" x14ac:dyDescent="0.25">
      <c r="A914" t="s">
        <v>895</v>
      </c>
      <c r="B914" t="s">
        <v>1594</v>
      </c>
      <c r="C914">
        <v>24</v>
      </c>
      <c r="D914">
        <v>3454305</v>
      </c>
      <c r="E914">
        <v>3.4543050000000002</v>
      </c>
      <c r="F914">
        <v>2036</v>
      </c>
      <c r="G914">
        <v>143929.4</v>
      </c>
      <c r="H914">
        <v>914280</v>
      </c>
    </row>
    <row r="915" spans="1:8" x14ac:dyDescent="0.25">
      <c r="A915" t="s">
        <v>896</v>
      </c>
      <c r="B915" t="s">
        <v>1594</v>
      </c>
      <c r="C915">
        <v>36</v>
      </c>
      <c r="D915">
        <v>2911786</v>
      </c>
      <c r="E915">
        <v>2.9117860000000002</v>
      </c>
      <c r="F915">
        <v>2418</v>
      </c>
      <c r="G915">
        <v>80882.899999999994</v>
      </c>
      <c r="H915">
        <v>326692</v>
      </c>
    </row>
    <row r="916" spans="1:8" x14ac:dyDescent="0.25">
      <c r="A916" t="s">
        <v>897</v>
      </c>
      <c r="B916" t="s">
        <v>1594</v>
      </c>
      <c r="C916">
        <v>92</v>
      </c>
      <c r="D916">
        <v>2750462</v>
      </c>
      <c r="E916">
        <v>2.7504620000000002</v>
      </c>
      <c r="F916">
        <v>2002</v>
      </c>
      <c r="G916">
        <v>29896.3</v>
      </c>
      <c r="H916">
        <v>223625</v>
      </c>
    </row>
    <row r="917" spans="1:8" x14ac:dyDescent="0.25">
      <c r="A917" t="s">
        <v>898</v>
      </c>
      <c r="B917" t="s">
        <v>1594</v>
      </c>
      <c r="C917">
        <v>24</v>
      </c>
      <c r="D917">
        <v>3259151</v>
      </c>
      <c r="E917">
        <v>3.2591510000000001</v>
      </c>
      <c r="F917">
        <v>8948</v>
      </c>
      <c r="G917">
        <v>135798</v>
      </c>
      <c r="H917">
        <v>471920</v>
      </c>
    </row>
    <row r="918" spans="1:8" x14ac:dyDescent="0.25">
      <c r="A918" t="s">
        <v>899</v>
      </c>
      <c r="B918" t="s">
        <v>1594</v>
      </c>
      <c r="C918">
        <v>94</v>
      </c>
      <c r="D918">
        <v>2101238</v>
      </c>
      <c r="E918">
        <v>2.1012379999999999</v>
      </c>
      <c r="F918">
        <v>2009</v>
      </c>
      <c r="G918">
        <v>22353.599999999999</v>
      </c>
      <c r="H918">
        <v>261924</v>
      </c>
    </row>
    <row r="919" spans="1:8" x14ac:dyDescent="0.25">
      <c r="A919" t="s">
        <v>900</v>
      </c>
      <c r="B919" t="s">
        <v>1594</v>
      </c>
      <c r="C919">
        <v>192</v>
      </c>
      <c r="D919">
        <v>2571763</v>
      </c>
      <c r="E919">
        <v>2.5717629999999998</v>
      </c>
      <c r="F919">
        <v>2010</v>
      </c>
      <c r="G919">
        <v>13394.6</v>
      </c>
      <c r="H919">
        <v>196966</v>
      </c>
    </row>
    <row r="920" spans="1:8" x14ac:dyDescent="0.25">
      <c r="A920" t="s">
        <v>901</v>
      </c>
      <c r="B920" t="s">
        <v>1594</v>
      </c>
      <c r="C920">
        <v>38</v>
      </c>
      <c r="D920">
        <v>2280477</v>
      </c>
      <c r="E920">
        <v>2.2804769999999999</v>
      </c>
      <c r="F920">
        <v>3100</v>
      </c>
      <c r="G920">
        <v>60012.6</v>
      </c>
      <c r="H920">
        <v>257306</v>
      </c>
    </row>
    <row r="921" spans="1:8" x14ac:dyDescent="0.25">
      <c r="A921" t="s">
        <v>902</v>
      </c>
      <c r="B921" t="s">
        <v>1594</v>
      </c>
      <c r="C921">
        <v>30</v>
      </c>
      <c r="D921">
        <v>2179406</v>
      </c>
      <c r="E921">
        <v>2.1794060000000002</v>
      </c>
      <c r="F921">
        <v>5367</v>
      </c>
      <c r="G921">
        <v>72646.899999999994</v>
      </c>
      <c r="H921">
        <v>261829</v>
      </c>
    </row>
    <row r="922" spans="1:8" x14ac:dyDescent="0.25">
      <c r="A922" t="s">
        <v>903</v>
      </c>
      <c r="B922" t="s">
        <v>1594</v>
      </c>
      <c r="C922">
        <v>20</v>
      </c>
      <c r="D922">
        <v>2240035</v>
      </c>
      <c r="E922">
        <v>2.2400350000000002</v>
      </c>
      <c r="F922">
        <v>4455</v>
      </c>
      <c r="G922">
        <v>112001.8</v>
      </c>
      <c r="H922">
        <v>328461</v>
      </c>
    </row>
    <row r="923" spans="1:8" x14ac:dyDescent="0.25">
      <c r="A923" t="s">
        <v>904</v>
      </c>
      <c r="B923" t="s">
        <v>1594</v>
      </c>
      <c r="C923">
        <v>12</v>
      </c>
      <c r="D923">
        <v>2975390</v>
      </c>
      <c r="E923">
        <v>2.97539</v>
      </c>
      <c r="F923">
        <v>11467</v>
      </c>
      <c r="G923">
        <v>247949.2</v>
      </c>
      <c r="H923">
        <v>1363481</v>
      </c>
    </row>
    <row r="924" spans="1:8" x14ac:dyDescent="0.25">
      <c r="A924" t="s">
        <v>905</v>
      </c>
      <c r="B924" t="s">
        <v>1594</v>
      </c>
      <c r="C924">
        <v>91</v>
      </c>
      <c r="D924">
        <v>2283023</v>
      </c>
      <c r="E924">
        <v>2.283023</v>
      </c>
      <c r="F924">
        <v>2002</v>
      </c>
      <c r="G924">
        <v>25088.2</v>
      </c>
      <c r="H924">
        <v>327554</v>
      </c>
    </row>
    <row r="925" spans="1:8" x14ac:dyDescent="0.25">
      <c r="A925" t="s">
        <v>906</v>
      </c>
      <c r="B925" t="s">
        <v>1594</v>
      </c>
      <c r="C925">
        <v>31</v>
      </c>
      <c r="D925">
        <v>1442398</v>
      </c>
      <c r="E925">
        <v>1.4423980000000001</v>
      </c>
      <c r="F925">
        <v>2229</v>
      </c>
      <c r="G925">
        <v>46529</v>
      </c>
      <c r="H925">
        <v>195025</v>
      </c>
    </row>
    <row r="926" spans="1:8" x14ac:dyDescent="0.25">
      <c r="A926" t="s">
        <v>907</v>
      </c>
      <c r="B926" t="s">
        <v>1594</v>
      </c>
      <c r="C926">
        <v>7</v>
      </c>
      <c r="D926">
        <v>2937060</v>
      </c>
      <c r="E926">
        <v>2.9370599999999998</v>
      </c>
      <c r="F926">
        <v>8679</v>
      </c>
      <c r="G926">
        <v>419580</v>
      </c>
      <c r="H926">
        <v>1264994</v>
      </c>
    </row>
    <row r="927" spans="1:8" x14ac:dyDescent="0.25">
      <c r="A927" t="s">
        <v>908</v>
      </c>
      <c r="B927" t="s">
        <v>1594</v>
      </c>
      <c r="C927">
        <v>11</v>
      </c>
      <c r="D927">
        <v>2761099</v>
      </c>
      <c r="E927">
        <v>2.7610990000000002</v>
      </c>
      <c r="F927">
        <v>11179</v>
      </c>
      <c r="G927">
        <v>251009</v>
      </c>
      <c r="H927">
        <v>1431730</v>
      </c>
    </row>
    <row r="928" spans="1:8" x14ac:dyDescent="0.25">
      <c r="A928" t="s">
        <v>909</v>
      </c>
      <c r="B928" t="s">
        <v>1594</v>
      </c>
      <c r="C928">
        <v>23</v>
      </c>
      <c r="D928">
        <v>1434119</v>
      </c>
      <c r="E928">
        <v>1.4341189999999999</v>
      </c>
      <c r="F928">
        <v>7882</v>
      </c>
      <c r="G928">
        <v>62353</v>
      </c>
      <c r="H928">
        <v>191696</v>
      </c>
    </row>
    <row r="929" spans="1:8" x14ac:dyDescent="0.25">
      <c r="A929" t="s">
        <v>910</v>
      </c>
      <c r="B929" t="s">
        <v>1594</v>
      </c>
      <c r="C929">
        <v>249</v>
      </c>
      <c r="D929">
        <v>2240587</v>
      </c>
      <c r="E929">
        <v>2.2405870000000001</v>
      </c>
      <c r="F929">
        <v>2002</v>
      </c>
      <c r="G929">
        <v>8998.2999999999993</v>
      </c>
      <c r="H929">
        <v>83192</v>
      </c>
    </row>
    <row r="930" spans="1:8" x14ac:dyDescent="0.25">
      <c r="A930" t="s">
        <v>911</v>
      </c>
      <c r="B930" t="s">
        <v>1594</v>
      </c>
      <c r="C930">
        <v>40</v>
      </c>
      <c r="D930">
        <v>2600240</v>
      </c>
      <c r="E930">
        <v>2.6002399999999999</v>
      </c>
      <c r="F930">
        <v>4263</v>
      </c>
      <c r="G930">
        <v>65006</v>
      </c>
      <c r="H930">
        <v>468734</v>
      </c>
    </row>
    <row r="931" spans="1:8" x14ac:dyDescent="0.25">
      <c r="A931" t="s">
        <v>912</v>
      </c>
      <c r="B931" t="s">
        <v>1594</v>
      </c>
      <c r="C931">
        <v>8</v>
      </c>
      <c r="D931">
        <v>2644448</v>
      </c>
      <c r="E931">
        <v>2.6444480000000001</v>
      </c>
      <c r="F931">
        <v>37099</v>
      </c>
      <c r="G931">
        <v>330556</v>
      </c>
      <c r="H931">
        <v>1395992</v>
      </c>
    </row>
    <row r="932" spans="1:8" x14ac:dyDescent="0.25">
      <c r="A932" t="s">
        <v>913</v>
      </c>
      <c r="B932" t="s">
        <v>1594</v>
      </c>
      <c r="C932">
        <v>55</v>
      </c>
      <c r="D932">
        <v>3121674</v>
      </c>
      <c r="E932">
        <v>3.1216740000000001</v>
      </c>
      <c r="F932">
        <v>2365</v>
      </c>
      <c r="G932">
        <v>56757.7</v>
      </c>
      <c r="H932">
        <v>381598</v>
      </c>
    </row>
    <row r="933" spans="1:8" x14ac:dyDescent="0.25">
      <c r="A933" t="s">
        <v>914</v>
      </c>
      <c r="B933" t="s">
        <v>1594</v>
      </c>
      <c r="C933">
        <v>37</v>
      </c>
      <c r="D933">
        <v>2112570</v>
      </c>
      <c r="E933">
        <v>2.1125699999999998</v>
      </c>
      <c r="F933">
        <v>3738</v>
      </c>
      <c r="G933">
        <v>57096.5</v>
      </c>
      <c r="H933">
        <v>219998</v>
      </c>
    </row>
    <row r="934" spans="1:8" x14ac:dyDescent="0.25">
      <c r="A934" t="s">
        <v>915</v>
      </c>
      <c r="B934" t="s">
        <v>1594</v>
      </c>
      <c r="C934">
        <v>7</v>
      </c>
      <c r="D934">
        <v>2465195</v>
      </c>
      <c r="E934">
        <v>2.465195</v>
      </c>
      <c r="F934">
        <v>43703</v>
      </c>
      <c r="G934">
        <v>352170.7</v>
      </c>
      <c r="H934">
        <v>779398</v>
      </c>
    </row>
    <row r="935" spans="1:8" x14ac:dyDescent="0.25">
      <c r="A935" t="s">
        <v>916</v>
      </c>
      <c r="B935" t="s">
        <v>1594</v>
      </c>
      <c r="C935">
        <v>25</v>
      </c>
      <c r="D935">
        <v>3240662</v>
      </c>
      <c r="E935">
        <v>3.2406619999999999</v>
      </c>
      <c r="F935">
        <v>3179</v>
      </c>
      <c r="G935">
        <v>129626.5</v>
      </c>
      <c r="H935">
        <v>368179</v>
      </c>
    </row>
    <row r="936" spans="1:8" x14ac:dyDescent="0.25">
      <c r="A936" t="s">
        <v>917</v>
      </c>
      <c r="B936" t="s">
        <v>1594</v>
      </c>
      <c r="C936">
        <v>23</v>
      </c>
      <c r="D936">
        <v>3473178</v>
      </c>
      <c r="E936">
        <v>3.4731779999999999</v>
      </c>
      <c r="F936">
        <v>6150</v>
      </c>
      <c r="G936">
        <v>151007.70000000001</v>
      </c>
      <c r="H936">
        <v>470893</v>
      </c>
    </row>
    <row r="937" spans="1:8" x14ac:dyDescent="0.25">
      <c r="A937" t="s">
        <v>918</v>
      </c>
      <c r="B937" t="s">
        <v>1594</v>
      </c>
      <c r="C937">
        <v>301</v>
      </c>
      <c r="D937">
        <v>2126626</v>
      </c>
      <c r="E937">
        <v>2.1266259999999999</v>
      </c>
      <c r="F937">
        <v>2001</v>
      </c>
      <c r="G937">
        <v>7065.2</v>
      </c>
      <c r="H937">
        <v>173486</v>
      </c>
    </row>
    <row r="938" spans="1:8" x14ac:dyDescent="0.25">
      <c r="A938" t="s">
        <v>919</v>
      </c>
      <c r="B938" t="s">
        <v>1594</v>
      </c>
      <c r="C938">
        <v>5</v>
      </c>
      <c r="D938">
        <v>2549763</v>
      </c>
      <c r="E938">
        <v>2.549763</v>
      </c>
      <c r="F938">
        <v>31485</v>
      </c>
      <c r="G938">
        <v>509952.6</v>
      </c>
      <c r="H938">
        <v>947384</v>
      </c>
    </row>
    <row r="939" spans="1:8" x14ac:dyDescent="0.25">
      <c r="A939" t="s">
        <v>920</v>
      </c>
      <c r="B939" t="s">
        <v>1594</v>
      </c>
      <c r="C939">
        <v>2</v>
      </c>
      <c r="D939">
        <v>3161546</v>
      </c>
      <c r="E939">
        <v>3.161546</v>
      </c>
      <c r="F939">
        <v>1417724</v>
      </c>
      <c r="G939">
        <v>1580773</v>
      </c>
      <c r="H939">
        <v>1743822</v>
      </c>
    </row>
    <row r="940" spans="1:8" x14ac:dyDescent="0.25">
      <c r="A940" t="s">
        <v>921</v>
      </c>
      <c r="B940" t="s">
        <v>1594</v>
      </c>
      <c r="C940">
        <v>67</v>
      </c>
      <c r="D940">
        <v>2335502</v>
      </c>
      <c r="E940">
        <v>2.335502</v>
      </c>
      <c r="F940">
        <v>3917</v>
      </c>
      <c r="G940">
        <v>34858.199999999997</v>
      </c>
      <c r="H940">
        <v>179226</v>
      </c>
    </row>
    <row r="941" spans="1:8" x14ac:dyDescent="0.25">
      <c r="A941" t="s">
        <v>922</v>
      </c>
      <c r="B941" t="s">
        <v>1594</v>
      </c>
      <c r="C941">
        <v>56</v>
      </c>
      <c r="D941">
        <v>2860275</v>
      </c>
      <c r="E941">
        <v>2.8602750000000001</v>
      </c>
      <c r="F941">
        <v>5007</v>
      </c>
      <c r="G941">
        <v>51076.3</v>
      </c>
      <c r="H941">
        <v>164128</v>
      </c>
    </row>
    <row r="942" spans="1:8" x14ac:dyDescent="0.25">
      <c r="A942" t="s">
        <v>923</v>
      </c>
      <c r="B942" t="s">
        <v>1594</v>
      </c>
      <c r="C942">
        <v>8</v>
      </c>
      <c r="D942">
        <v>1989659</v>
      </c>
      <c r="E942">
        <v>1.9896590000000001</v>
      </c>
      <c r="F942">
        <v>17456</v>
      </c>
      <c r="G942">
        <v>248707.4</v>
      </c>
      <c r="H942">
        <v>837555</v>
      </c>
    </row>
    <row r="943" spans="1:8" x14ac:dyDescent="0.25">
      <c r="A943" t="s">
        <v>924</v>
      </c>
      <c r="B943" t="s">
        <v>1594</v>
      </c>
      <c r="C943">
        <v>102</v>
      </c>
      <c r="D943">
        <v>2342577</v>
      </c>
      <c r="E943">
        <v>2.3425769999999999</v>
      </c>
      <c r="F943">
        <v>2010</v>
      </c>
      <c r="G943">
        <v>22966.400000000001</v>
      </c>
      <c r="H943">
        <v>194323</v>
      </c>
    </row>
    <row r="944" spans="1:8" x14ac:dyDescent="0.25">
      <c r="A944" t="s">
        <v>925</v>
      </c>
      <c r="B944" t="s">
        <v>1594</v>
      </c>
      <c r="C944">
        <v>159</v>
      </c>
      <c r="D944">
        <v>3108799</v>
      </c>
      <c r="E944">
        <v>3.1087989999999999</v>
      </c>
      <c r="F944">
        <v>2534</v>
      </c>
      <c r="G944">
        <v>19552.2</v>
      </c>
      <c r="H944">
        <v>268258</v>
      </c>
    </row>
    <row r="945" spans="1:8" x14ac:dyDescent="0.25">
      <c r="A945" t="s">
        <v>926</v>
      </c>
      <c r="B945" t="s">
        <v>1594</v>
      </c>
      <c r="C945">
        <v>4</v>
      </c>
      <c r="D945">
        <v>3153707</v>
      </c>
      <c r="E945">
        <v>3.1537069999999998</v>
      </c>
      <c r="F945">
        <v>58494</v>
      </c>
      <c r="G945">
        <v>788426.8</v>
      </c>
      <c r="H945">
        <v>1497892</v>
      </c>
    </row>
    <row r="946" spans="1:8" x14ac:dyDescent="0.25">
      <c r="A946" t="s">
        <v>927</v>
      </c>
      <c r="B946" t="s">
        <v>1594</v>
      </c>
      <c r="C946">
        <v>166</v>
      </c>
      <c r="D946">
        <v>1603097</v>
      </c>
      <c r="E946">
        <v>1.603097</v>
      </c>
      <c r="F946">
        <v>2007</v>
      </c>
      <c r="G946">
        <v>9657.2000000000007</v>
      </c>
      <c r="H946">
        <v>138825</v>
      </c>
    </row>
    <row r="947" spans="1:8" x14ac:dyDescent="0.25">
      <c r="A947" t="s">
        <v>928</v>
      </c>
      <c r="B947" t="s">
        <v>1594</v>
      </c>
      <c r="C947">
        <v>25</v>
      </c>
      <c r="D947">
        <v>2499302</v>
      </c>
      <c r="E947">
        <v>2.4993020000000001</v>
      </c>
      <c r="F947">
        <v>4885</v>
      </c>
      <c r="G947">
        <v>99972.1</v>
      </c>
      <c r="H947">
        <v>1034677</v>
      </c>
    </row>
    <row r="948" spans="1:8" x14ac:dyDescent="0.25">
      <c r="A948" t="s">
        <v>929</v>
      </c>
      <c r="B948" t="s">
        <v>1594</v>
      </c>
      <c r="C948">
        <v>15</v>
      </c>
      <c r="D948">
        <v>2070597</v>
      </c>
      <c r="E948">
        <v>2.0705969999999998</v>
      </c>
      <c r="F948">
        <v>5301</v>
      </c>
      <c r="G948">
        <v>138039.79999999999</v>
      </c>
      <c r="H948">
        <v>499616</v>
      </c>
    </row>
    <row r="949" spans="1:8" x14ac:dyDescent="0.25">
      <c r="A949" t="s">
        <v>930</v>
      </c>
      <c r="B949" t="s">
        <v>1594</v>
      </c>
      <c r="C949">
        <v>6</v>
      </c>
      <c r="D949">
        <v>2582462</v>
      </c>
      <c r="E949">
        <v>2.582462</v>
      </c>
      <c r="F949">
        <v>153612</v>
      </c>
      <c r="G949">
        <v>430410.3</v>
      </c>
      <c r="H949">
        <v>1109397</v>
      </c>
    </row>
    <row r="950" spans="1:8" x14ac:dyDescent="0.25">
      <c r="A950" t="s">
        <v>931</v>
      </c>
      <c r="B950" t="s">
        <v>1594</v>
      </c>
      <c r="C950">
        <v>32</v>
      </c>
      <c r="D950">
        <v>2161479</v>
      </c>
      <c r="E950">
        <v>2.1614789999999999</v>
      </c>
      <c r="F950">
        <v>20735</v>
      </c>
      <c r="G950">
        <v>67546.2</v>
      </c>
      <c r="H950">
        <v>191178</v>
      </c>
    </row>
    <row r="951" spans="1:8" x14ac:dyDescent="0.25">
      <c r="A951" t="s">
        <v>932</v>
      </c>
      <c r="B951" t="s">
        <v>1594</v>
      </c>
      <c r="C951">
        <v>6</v>
      </c>
      <c r="D951">
        <v>1486298</v>
      </c>
      <c r="E951">
        <v>1.4862979999999999</v>
      </c>
      <c r="F951">
        <v>17507</v>
      </c>
      <c r="G951">
        <v>247716.3</v>
      </c>
      <c r="H951">
        <v>883034</v>
      </c>
    </row>
    <row r="952" spans="1:8" x14ac:dyDescent="0.25">
      <c r="A952" t="s">
        <v>933</v>
      </c>
      <c r="B952" t="s">
        <v>1594</v>
      </c>
      <c r="C952">
        <v>4</v>
      </c>
      <c r="D952">
        <v>2510051</v>
      </c>
      <c r="E952">
        <v>2.5100509999999998</v>
      </c>
      <c r="F952">
        <v>192684</v>
      </c>
      <c r="G952">
        <v>627512.80000000005</v>
      </c>
      <c r="H952">
        <v>1218528</v>
      </c>
    </row>
    <row r="953" spans="1:8" x14ac:dyDescent="0.25">
      <c r="A953" t="s">
        <v>934</v>
      </c>
      <c r="B953" t="s">
        <v>1594</v>
      </c>
      <c r="C953">
        <v>38</v>
      </c>
      <c r="D953">
        <v>1647665</v>
      </c>
      <c r="E953">
        <v>1.6476649999999999</v>
      </c>
      <c r="F953">
        <v>2087</v>
      </c>
      <c r="G953">
        <v>43359.6</v>
      </c>
      <c r="H953">
        <v>217356</v>
      </c>
    </row>
    <row r="954" spans="1:8" x14ac:dyDescent="0.25">
      <c r="A954" t="s">
        <v>935</v>
      </c>
      <c r="B954" t="s">
        <v>1594</v>
      </c>
      <c r="C954">
        <v>59</v>
      </c>
      <c r="D954">
        <v>2916897</v>
      </c>
      <c r="E954">
        <v>2.9168970000000001</v>
      </c>
      <c r="F954">
        <v>2062</v>
      </c>
      <c r="G954">
        <v>49438.9</v>
      </c>
      <c r="H954">
        <v>323828</v>
      </c>
    </row>
    <row r="955" spans="1:8" x14ac:dyDescent="0.25">
      <c r="A955" t="s">
        <v>936</v>
      </c>
      <c r="B955" t="s">
        <v>1594</v>
      </c>
      <c r="C955">
        <v>57</v>
      </c>
      <c r="D955">
        <v>1997162</v>
      </c>
      <c r="E955">
        <v>1.9971620000000001</v>
      </c>
      <c r="F955">
        <v>2008</v>
      </c>
      <c r="G955">
        <v>35037.9</v>
      </c>
      <c r="H955">
        <v>216026</v>
      </c>
    </row>
    <row r="956" spans="1:8" x14ac:dyDescent="0.25">
      <c r="A956" t="s">
        <v>937</v>
      </c>
      <c r="B956" t="s">
        <v>1594</v>
      </c>
      <c r="C956">
        <v>3</v>
      </c>
      <c r="D956">
        <v>2323424</v>
      </c>
      <c r="E956">
        <v>2.3234240000000002</v>
      </c>
      <c r="F956">
        <v>215613</v>
      </c>
      <c r="G956">
        <v>774474.7</v>
      </c>
      <c r="H956">
        <v>1154811</v>
      </c>
    </row>
    <row r="957" spans="1:8" x14ac:dyDescent="0.25">
      <c r="A957" t="s">
        <v>938</v>
      </c>
      <c r="B957" t="s">
        <v>1594</v>
      </c>
      <c r="C957">
        <v>45</v>
      </c>
      <c r="D957">
        <v>1796017</v>
      </c>
      <c r="E957">
        <v>1.796017</v>
      </c>
      <c r="F957">
        <v>6669</v>
      </c>
      <c r="G957">
        <v>39911.5</v>
      </c>
      <c r="H957">
        <v>134887</v>
      </c>
    </row>
    <row r="958" spans="1:8" x14ac:dyDescent="0.25">
      <c r="A958" t="s">
        <v>939</v>
      </c>
      <c r="B958" t="s">
        <v>1594</v>
      </c>
      <c r="C958">
        <v>37</v>
      </c>
      <c r="D958">
        <v>1690331</v>
      </c>
      <c r="E958">
        <v>1.690331</v>
      </c>
      <c r="F958">
        <v>2213</v>
      </c>
      <c r="G958">
        <v>45684.6</v>
      </c>
      <c r="H958">
        <v>164972</v>
      </c>
    </row>
    <row r="959" spans="1:8" x14ac:dyDescent="0.25">
      <c r="A959" t="s">
        <v>940</v>
      </c>
      <c r="B959" t="s">
        <v>1594</v>
      </c>
      <c r="C959">
        <v>25</v>
      </c>
      <c r="D959">
        <v>1382963</v>
      </c>
      <c r="E959">
        <v>1.3829629999999999</v>
      </c>
      <c r="F959">
        <v>2327</v>
      </c>
      <c r="G959">
        <v>55318.5</v>
      </c>
      <c r="H959">
        <v>151744</v>
      </c>
    </row>
    <row r="960" spans="1:8" x14ac:dyDescent="0.25">
      <c r="A960" t="s">
        <v>941</v>
      </c>
      <c r="B960" t="s">
        <v>1594</v>
      </c>
      <c r="C960">
        <v>120</v>
      </c>
      <c r="D960">
        <v>1900957</v>
      </c>
      <c r="E960">
        <v>1.900957</v>
      </c>
      <c r="F960">
        <v>2049</v>
      </c>
      <c r="G960">
        <v>15841.3</v>
      </c>
      <c r="H960">
        <v>122798</v>
      </c>
    </row>
    <row r="961" spans="1:8" x14ac:dyDescent="0.25">
      <c r="A961" t="s">
        <v>942</v>
      </c>
      <c r="B961" t="s">
        <v>1594</v>
      </c>
      <c r="C961">
        <v>3</v>
      </c>
      <c r="D961">
        <v>3729231</v>
      </c>
      <c r="E961">
        <v>3.729231</v>
      </c>
      <c r="F961">
        <v>338245</v>
      </c>
      <c r="G961">
        <v>1243077</v>
      </c>
      <c r="H961">
        <v>2363869</v>
      </c>
    </row>
    <row r="962" spans="1:8" x14ac:dyDescent="0.25">
      <c r="A962" t="s">
        <v>943</v>
      </c>
      <c r="B962" t="s">
        <v>1594</v>
      </c>
      <c r="C962">
        <v>5</v>
      </c>
      <c r="D962">
        <v>2243167</v>
      </c>
      <c r="E962">
        <v>2.2431670000000001</v>
      </c>
      <c r="F962">
        <v>22638</v>
      </c>
      <c r="G962">
        <v>448633.4</v>
      </c>
      <c r="H962">
        <v>860257</v>
      </c>
    </row>
    <row r="963" spans="1:8" x14ac:dyDescent="0.25">
      <c r="A963" t="s">
        <v>944</v>
      </c>
      <c r="B963" t="s">
        <v>1594</v>
      </c>
      <c r="C963">
        <v>28</v>
      </c>
      <c r="D963">
        <v>1665677</v>
      </c>
      <c r="E963">
        <v>1.6656770000000001</v>
      </c>
      <c r="F963">
        <v>15319</v>
      </c>
      <c r="G963">
        <v>59488.5</v>
      </c>
      <c r="H963">
        <v>179069</v>
      </c>
    </row>
    <row r="964" spans="1:8" x14ac:dyDescent="0.25">
      <c r="A964" t="s">
        <v>945</v>
      </c>
      <c r="B964" t="s">
        <v>1594</v>
      </c>
      <c r="C964">
        <v>6</v>
      </c>
      <c r="D964">
        <v>993511</v>
      </c>
      <c r="E964">
        <v>0.99351100000000003</v>
      </c>
      <c r="F964">
        <v>29411</v>
      </c>
      <c r="G964">
        <v>165585.20000000001</v>
      </c>
      <c r="H964">
        <v>408718</v>
      </c>
    </row>
    <row r="965" spans="1:8" x14ac:dyDescent="0.25">
      <c r="A965" t="s">
        <v>946</v>
      </c>
      <c r="B965" t="s">
        <v>1594</v>
      </c>
      <c r="C965">
        <v>38</v>
      </c>
      <c r="D965">
        <v>3340024</v>
      </c>
      <c r="E965">
        <v>3.3400240000000001</v>
      </c>
      <c r="F965">
        <v>11352</v>
      </c>
      <c r="G965">
        <v>87895.4</v>
      </c>
      <c r="H965">
        <v>271256</v>
      </c>
    </row>
    <row r="966" spans="1:8" x14ac:dyDescent="0.25">
      <c r="A966" t="s">
        <v>947</v>
      </c>
      <c r="B966" t="s">
        <v>1594</v>
      </c>
      <c r="C966">
        <v>8</v>
      </c>
      <c r="D966">
        <v>3417243</v>
      </c>
      <c r="E966">
        <v>3.417243</v>
      </c>
      <c r="F966">
        <v>117387</v>
      </c>
      <c r="G966">
        <v>427155.4</v>
      </c>
      <c r="H966">
        <v>769479</v>
      </c>
    </row>
    <row r="967" spans="1:8" x14ac:dyDescent="0.25">
      <c r="A967" t="s">
        <v>948</v>
      </c>
      <c r="B967" t="s">
        <v>1594</v>
      </c>
      <c r="C967">
        <v>34</v>
      </c>
      <c r="D967">
        <v>2781513</v>
      </c>
      <c r="E967">
        <v>2.7815129999999999</v>
      </c>
      <c r="F967">
        <v>7182</v>
      </c>
      <c r="G967">
        <v>81809.2</v>
      </c>
      <c r="H967">
        <v>316562</v>
      </c>
    </row>
    <row r="968" spans="1:8" x14ac:dyDescent="0.25">
      <c r="A968" t="s">
        <v>949</v>
      </c>
      <c r="B968" t="s">
        <v>1594</v>
      </c>
      <c r="C968">
        <v>52</v>
      </c>
      <c r="D968">
        <v>2461443</v>
      </c>
      <c r="E968">
        <v>2.461443</v>
      </c>
      <c r="F968">
        <v>2025</v>
      </c>
      <c r="G968">
        <v>47335.4</v>
      </c>
      <c r="H968">
        <v>208752</v>
      </c>
    </row>
    <row r="969" spans="1:8" x14ac:dyDescent="0.25">
      <c r="A969" t="s">
        <v>950</v>
      </c>
      <c r="B969" t="s">
        <v>1594</v>
      </c>
      <c r="C969">
        <v>40</v>
      </c>
      <c r="D969">
        <v>2735000</v>
      </c>
      <c r="E969">
        <v>2.7349999999999999</v>
      </c>
      <c r="F969">
        <v>9527</v>
      </c>
      <c r="G969">
        <v>68375</v>
      </c>
      <c r="H969">
        <v>273003</v>
      </c>
    </row>
    <row r="970" spans="1:8" x14ac:dyDescent="0.25">
      <c r="A970" t="s">
        <v>951</v>
      </c>
      <c r="B970" t="s">
        <v>1594</v>
      </c>
      <c r="C970">
        <v>12</v>
      </c>
      <c r="D970">
        <v>5108813</v>
      </c>
      <c r="E970">
        <v>5.1088129999999996</v>
      </c>
      <c r="F970">
        <v>78164</v>
      </c>
      <c r="G970">
        <v>425734.40000000002</v>
      </c>
      <c r="H970">
        <v>1278831</v>
      </c>
    </row>
    <row r="971" spans="1:8" x14ac:dyDescent="0.25">
      <c r="A971" t="s">
        <v>952</v>
      </c>
      <c r="B971" t="s">
        <v>1594</v>
      </c>
      <c r="C971">
        <v>16</v>
      </c>
      <c r="D971">
        <v>3626943</v>
      </c>
      <c r="E971">
        <v>3.6269429999999998</v>
      </c>
      <c r="F971">
        <v>5576</v>
      </c>
      <c r="G971">
        <v>226683.9</v>
      </c>
      <c r="H971">
        <v>860827</v>
      </c>
    </row>
    <row r="972" spans="1:8" x14ac:dyDescent="0.25">
      <c r="A972" t="s">
        <v>953</v>
      </c>
      <c r="B972" t="s">
        <v>1594</v>
      </c>
      <c r="C972">
        <v>48</v>
      </c>
      <c r="D972">
        <v>2507939</v>
      </c>
      <c r="E972">
        <v>2.5079389999999999</v>
      </c>
      <c r="F972">
        <v>2068</v>
      </c>
      <c r="G972">
        <v>52248.7</v>
      </c>
      <c r="H972">
        <v>358759</v>
      </c>
    </row>
    <row r="973" spans="1:8" x14ac:dyDescent="0.25">
      <c r="A973" t="s">
        <v>954</v>
      </c>
      <c r="B973" t="s">
        <v>1594</v>
      </c>
      <c r="C973">
        <v>9</v>
      </c>
      <c r="D973">
        <v>2034243</v>
      </c>
      <c r="E973">
        <v>2.034243</v>
      </c>
      <c r="F973">
        <v>22868</v>
      </c>
      <c r="G973">
        <v>226027</v>
      </c>
      <c r="H973">
        <v>463813</v>
      </c>
    </row>
    <row r="974" spans="1:8" x14ac:dyDescent="0.25">
      <c r="A974" t="s">
        <v>955</v>
      </c>
      <c r="B974" t="s">
        <v>1594</v>
      </c>
      <c r="C974">
        <v>35</v>
      </c>
      <c r="D974">
        <v>2155427</v>
      </c>
      <c r="E974">
        <v>2.155427</v>
      </c>
      <c r="F974">
        <v>4914</v>
      </c>
      <c r="G974">
        <v>61583.6</v>
      </c>
      <c r="H974">
        <v>195112</v>
      </c>
    </row>
    <row r="975" spans="1:8" x14ac:dyDescent="0.25">
      <c r="A975" t="s">
        <v>956</v>
      </c>
      <c r="B975" t="s">
        <v>1594</v>
      </c>
      <c r="C975">
        <v>42</v>
      </c>
      <c r="D975">
        <v>2263469</v>
      </c>
      <c r="E975">
        <v>2.2634690000000002</v>
      </c>
      <c r="F975">
        <v>2028</v>
      </c>
      <c r="G975">
        <v>53892.1</v>
      </c>
      <c r="H975">
        <v>425520</v>
      </c>
    </row>
    <row r="976" spans="1:8" x14ac:dyDescent="0.25">
      <c r="A976" t="s">
        <v>957</v>
      </c>
      <c r="B976" t="s">
        <v>1594</v>
      </c>
      <c r="C976">
        <v>25</v>
      </c>
      <c r="D976">
        <v>3017794</v>
      </c>
      <c r="E976">
        <v>3.0177939999999999</v>
      </c>
      <c r="F976">
        <v>13897</v>
      </c>
      <c r="G976">
        <v>120711.8</v>
      </c>
      <c r="H976">
        <v>494099</v>
      </c>
    </row>
    <row r="977" spans="1:8" x14ac:dyDescent="0.25">
      <c r="A977" t="s">
        <v>958</v>
      </c>
      <c r="B977" t="s">
        <v>1594</v>
      </c>
      <c r="C977">
        <v>35</v>
      </c>
      <c r="D977">
        <v>3768471</v>
      </c>
      <c r="E977">
        <v>3.7684709999999999</v>
      </c>
      <c r="F977">
        <v>9648</v>
      </c>
      <c r="G977">
        <v>107670.6</v>
      </c>
      <c r="H977">
        <v>405972</v>
      </c>
    </row>
    <row r="978" spans="1:8" x14ac:dyDescent="0.25">
      <c r="A978" t="s">
        <v>959</v>
      </c>
      <c r="B978" t="s">
        <v>1594</v>
      </c>
      <c r="C978">
        <v>23</v>
      </c>
      <c r="D978">
        <v>2807936</v>
      </c>
      <c r="E978">
        <v>2.8079360000000002</v>
      </c>
      <c r="F978">
        <v>2855</v>
      </c>
      <c r="G978">
        <v>122084.2</v>
      </c>
      <c r="H978">
        <v>323397</v>
      </c>
    </row>
    <row r="979" spans="1:8" x14ac:dyDescent="0.25">
      <c r="A979" t="s">
        <v>960</v>
      </c>
      <c r="B979" t="s">
        <v>1594</v>
      </c>
      <c r="C979">
        <v>69</v>
      </c>
      <c r="D979">
        <v>3012655</v>
      </c>
      <c r="E979">
        <v>3.0126550000000001</v>
      </c>
      <c r="F979">
        <v>2008</v>
      </c>
      <c r="G979">
        <v>43661.7</v>
      </c>
      <c r="H979">
        <v>211780</v>
      </c>
    </row>
    <row r="980" spans="1:8" x14ac:dyDescent="0.25">
      <c r="A980" t="s">
        <v>961</v>
      </c>
      <c r="B980" t="s">
        <v>1594</v>
      </c>
      <c r="C980">
        <v>54</v>
      </c>
      <c r="D980">
        <v>2862315</v>
      </c>
      <c r="E980">
        <v>2.8623150000000002</v>
      </c>
      <c r="F980">
        <v>4173</v>
      </c>
      <c r="G980">
        <v>53005.8</v>
      </c>
      <c r="H980">
        <v>261803</v>
      </c>
    </row>
    <row r="981" spans="1:8" x14ac:dyDescent="0.25">
      <c r="A981" t="s">
        <v>962</v>
      </c>
      <c r="B981" t="s">
        <v>1594</v>
      </c>
      <c r="C981">
        <v>103</v>
      </c>
      <c r="D981">
        <v>3482245</v>
      </c>
      <c r="E981">
        <v>3.4822449999999998</v>
      </c>
      <c r="F981">
        <v>3834</v>
      </c>
      <c r="G981">
        <v>33808.199999999997</v>
      </c>
      <c r="H981">
        <v>225101</v>
      </c>
    </row>
    <row r="982" spans="1:8" x14ac:dyDescent="0.25">
      <c r="A982" t="s">
        <v>963</v>
      </c>
      <c r="B982" t="s">
        <v>1594</v>
      </c>
      <c r="C982">
        <v>44</v>
      </c>
      <c r="D982">
        <v>2363413</v>
      </c>
      <c r="E982">
        <v>2.363413</v>
      </c>
      <c r="F982">
        <v>6814</v>
      </c>
      <c r="G982">
        <v>53713.9</v>
      </c>
      <c r="H982">
        <v>169600</v>
      </c>
    </row>
    <row r="983" spans="1:8" x14ac:dyDescent="0.25">
      <c r="A983" t="s">
        <v>964</v>
      </c>
      <c r="B983" t="s">
        <v>1594</v>
      </c>
      <c r="C983">
        <v>36</v>
      </c>
      <c r="D983">
        <v>2300666</v>
      </c>
      <c r="E983">
        <v>2.3006660000000001</v>
      </c>
      <c r="F983">
        <v>9614</v>
      </c>
      <c r="G983">
        <v>63907.4</v>
      </c>
      <c r="H983">
        <v>191530</v>
      </c>
    </row>
    <row r="984" spans="1:8" x14ac:dyDescent="0.25">
      <c r="A984" t="s">
        <v>965</v>
      </c>
      <c r="B984" t="s">
        <v>1594</v>
      </c>
      <c r="C984">
        <v>33</v>
      </c>
      <c r="D984">
        <v>4206791</v>
      </c>
      <c r="E984">
        <v>4.2067909999999999</v>
      </c>
      <c r="F984">
        <v>40313</v>
      </c>
      <c r="G984">
        <v>127478.5</v>
      </c>
      <c r="H984">
        <v>1235022</v>
      </c>
    </row>
    <row r="985" spans="1:8" x14ac:dyDescent="0.25">
      <c r="A985" t="s">
        <v>966</v>
      </c>
      <c r="B985" t="s">
        <v>1594</v>
      </c>
      <c r="C985">
        <v>14</v>
      </c>
      <c r="D985">
        <v>2224407</v>
      </c>
      <c r="E985">
        <v>2.2244069999999998</v>
      </c>
      <c r="F985">
        <v>17734</v>
      </c>
      <c r="G985">
        <v>158886.20000000001</v>
      </c>
      <c r="H985">
        <v>421301</v>
      </c>
    </row>
    <row r="986" spans="1:8" x14ac:dyDescent="0.25">
      <c r="A986" t="s">
        <v>967</v>
      </c>
      <c r="B986" t="s">
        <v>1594</v>
      </c>
      <c r="C986">
        <v>65</v>
      </c>
      <c r="D986">
        <v>3664194</v>
      </c>
      <c r="E986">
        <v>3.6641940000000002</v>
      </c>
      <c r="F986">
        <v>2271</v>
      </c>
      <c r="G986">
        <v>56372.2</v>
      </c>
      <c r="H986">
        <v>307509</v>
      </c>
    </row>
    <row r="987" spans="1:8" x14ac:dyDescent="0.25">
      <c r="A987" t="s">
        <v>968</v>
      </c>
      <c r="B987" t="s">
        <v>1594</v>
      </c>
      <c r="C987">
        <v>6</v>
      </c>
      <c r="D987">
        <v>6839089</v>
      </c>
      <c r="E987">
        <v>6.8390890000000004</v>
      </c>
      <c r="F987">
        <v>25805</v>
      </c>
      <c r="G987">
        <v>1139848.2</v>
      </c>
      <c r="H987">
        <v>2564148</v>
      </c>
    </row>
    <row r="988" spans="1:8" x14ac:dyDescent="0.25">
      <c r="A988" t="s">
        <v>969</v>
      </c>
      <c r="B988" t="s">
        <v>1594</v>
      </c>
      <c r="C988">
        <v>29</v>
      </c>
      <c r="D988">
        <v>5597461</v>
      </c>
      <c r="E988">
        <v>5.597461</v>
      </c>
      <c r="F988">
        <v>6970</v>
      </c>
      <c r="G988">
        <v>193015.9</v>
      </c>
      <c r="H988">
        <v>859979</v>
      </c>
    </row>
    <row r="989" spans="1:8" x14ac:dyDescent="0.25">
      <c r="A989" t="s">
        <v>970</v>
      </c>
      <c r="B989" t="s">
        <v>1594</v>
      </c>
      <c r="C989">
        <v>27</v>
      </c>
      <c r="D989">
        <v>3895170</v>
      </c>
      <c r="E989">
        <v>3.8951699999999998</v>
      </c>
      <c r="F989">
        <v>2186</v>
      </c>
      <c r="G989">
        <v>144265.60000000001</v>
      </c>
      <c r="H989">
        <v>966863</v>
      </c>
    </row>
    <row r="990" spans="1:8" x14ac:dyDescent="0.25">
      <c r="A990" t="s">
        <v>971</v>
      </c>
      <c r="B990" t="s">
        <v>1594</v>
      </c>
      <c r="C990">
        <v>25</v>
      </c>
      <c r="D990">
        <v>2980612</v>
      </c>
      <c r="E990">
        <v>2.9806119999999998</v>
      </c>
      <c r="F990">
        <v>5127</v>
      </c>
      <c r="G990">
        <v>119224.5</v>
      </c>
      <c r="H990">
        <v>470934</v>
      </c>
    </row>
    <row r="991" spans="1:8" x14ac:dyDescent="0.25">
      <c r="A991" t="s">
        <v>972</v>
      </c>
      <c r="B991" t="s">
        <v>1594</v>
      </c>
      <c r="C991">
        <v>42</v>
      </c>
      <c r="D991">
        <v>1776980</v>
      </c>
      <c r="E991">
        <v>1.77698</v>
      </c>
      <c r="F991">
        <v>2146</v>
      </c>
      <c r="G991">
        <v>42309</v>
      </c>
      <c r="H991">
        <v>155010</v>
      </c>
    </row>
    <row r="992" spans="1:8" x14ac:dyDescent="0.25">
      <c r="A992" t="s">
        <v>973</v>
      </c>
      <c r="B992" t="s">
        <v>1594</v>
      </c>
      <c r="C992">
        <v>6</v>
      </c>
      <c r="D992">
        <v>3121510</v>
      </c>
      <c r="E992">
        <v>3.1215099999999998</v>
      </c>
      <c r="F992">
        <v>46738</v>
      </c>
      <c r="G992">
        <v>520251.7</v>
      </c>
      <c r="H992">
        <v>1334009</v>
      </c>
    </row>
    <row r="993" spans="1:8" x14ac:dyDescent="0.25">
      <c r="A993" t="s">
        <v>974</v>
      </c>
      <c r="B993" t="s">
        <v>1594</v>
      </c>
      <c r="C993">
        <v>68</v>
      </c>
      <c r="D993">
        <v>2792272</v>
      </c>
      <c r="E993">
        <v>2.7922720000000001</v>
      </c>
      <c r="F993">
        <v>2628</v>
      </c>
      <c r="G993">
        <v>41062.800000000003</v>
      </c>
      <c r="H993">
        <v>165005</v>
      </c>
    </row>
    <row r="994" spans="1:8" x14ac:dyDescent="0.25">
      <c r="A994" t="s">
        <v>975</v>
      </c>
      <c r="B994" t="s">
        <v>1594</v>
      </c>
      <c r="C994">
        <v>19</v>
      </c>
      <c r="D994">
        <v>2188676</v>
      </c>
      <c r="E994">
        <v>2.1886760000000001</v>
      </c>
      <c r="F994">
        <v>3224</v>
      </c>
      <c r="G994">
        <v>115193.5</v>
      </c>
      <c r="H994">
        <v>388998</v>
      </c>
    </row>
    <row r="995" spans="1:8" x14ac:dyDescent="0.25">
      <c r="A995" t="s">
        <v>976</v>
      </c>
      <c r="B995" t="s">
        <v>1594</v>
      </c>
      <c r="C995">
        <v>14</v>
      </c>
      <c r="D995">
        <v>1896477</v>
      </c>
      <c r="E995">
        <v>1.896477</v>
      </c>
      <c r="F995">
        <v>12512</v>
      </c>
      <c r="G995">
        <v>135462.6</v>
      </c>
      <c r="H995">
        <v>514614</v>
      </c>
    </row>
    <row r="996" spans="1:8" x14ac:dyDescent="0.25">
      <c r="A996" t="s">
        <v>977</v>
      </c>
      <c r="B996" t="s">
        <v>1594</v>
      </c>
      <c r="C996">
        <v>20</v>
      </c>
      <c r="D996">
        <v>2032266</v>
      </c>
      <c r="E996">
        <v>2.0322659999999999</v>
      </c>
      <c r="F996">
        <v>3234</v>
      </c>
      <c r="G996">
        <v>101613.3</v>
      </c>
      <c r="H996">
        <v>494033</v>
      </c>
    </row>
    <row r="997" spans="1:8" x14ac:dyDescent="0.25">
      <c r="A997" t="s">
        <v>978</v>
      </c>
      <c r="B997" t="s">
        <v>1594</v>
      </c>
      <c r="C997">
        <v>34</v>
      </c>
      <c r="D997">
        <v>1893666</v>
      </c>
      <c r="E997">
        <v>1.8936660000000001</v>
      </c>
      <c r="F997">
        <v>2065</v>
      </c>
      <c r="G997">
        <v>55696.1</v>
      </c>
      <c r="H997">
        <v>316011</v>
      </c>
    </row>
    <row r="998" spans="1:8" x14ac:dyDescent="0.25">
      <c r="A998" t="s">
        <v>979</v>
      </c>
      <c r="B998" t="s">
        <v>1594</v>
      </c>
      <c r="C998">
        <v>14</v>
      </c>
      <c r="D998">
        <v>1943392</v>
      </c>
      <c r="E998">
        <v>1.943392</v>
      </c>
      <c r="F998">
        <v>10680</v>
      </c>
      <c r="G998">
        <v>138813.70000000001</v>
      </c>
      <c r="H998">
        <v>497034</v>
      </c>
    </row>
    <row r="999" spans="1:8" x14ac:dyDescent="0.25">
      <c r="A999" t="s">
        <v>980</v>
      </c>
      <c r="B999" t="s">
        <v>1594</v>
      </c>
      <c r="C999">
        <v>224</v>
      </c>
      <c r="D999">
        <v>1789864</v>
      </c>
      <c r="E999">
        <v>1.7898639999999999</v>
      </c>
      <c r="F999">
        <v>2004</v>
      </c>
      <c r="G999">
        <v>7990.5</v>
      </c>
      <c r="H999">
        <v>173363</v>
      </c>
    </row>
    <row r="1000" spans="1:8" x14ac:dyDescent="0.25">
      <c r="A1000" t="s">
        <v>981</v>
      </c>
      <c r="B1000" t="s">
        <v>1594</v>
      </c>
      <c r="C1000">
        <v>39</v>
      </c>
      <c r="D1000">
        <v>2368812</v>
      </c>
      <c r="E1000">
        <v>2.3688120000000001</v>
      </c>
      <c r="F1000">
        <v>2213</v>
      </c>
      <c r="G1000">
        <v>60738.8</v>
      </c>
      <c r="H1000">
        <v>269086</v>
      </c>
    </row>
    <row r="1001" spans="1:8" x14ac:dyDescent="0.25">
      <c r="A1001" t="s">
        <v>982</v>
      </c>
      <c r="B1001" t="s">
        <v>1594</v>
      </c>
      <c r="C1001">
        <v>7</v>
      </c>
      <c r="D1001">
        <v>2977409</v>
      </c>
      <c r="E1001">
        <v>2.9774090000000002</v>
      </c>
      <c r="F1001">
        <v>2134</v>
      </c>
      <c r="G1001">
        <v>425344.1</v>
      </c>
      <c r="H1001">
        <v>2066446</v>
      </c>
    </row>
    <row r="1002" spans="1:8" x14ac:dyDescent="0.25">
      <c r="A1002" t="s">
        <v>983</v>
      </c>
      <c r="B1002" t="s">
        <v>1594</v>
      </c>
      <c r="C1002">
        <v>24</v>
      </c>
      <c r="D1002">
        <v>2000765</v>
      </c>
      <c r="E1002">
        <v>2.0007649999999999</v>
      </c>
      <c r="F1002">
        <v>7147</v>
      </c>
      <c r="G1002">
        <v>83365.2</v>
      </c>
      <c r="H1002">
        <v>386391</v>
      </c>
    </row>
    <row r="1003" spans="1:8" x14ac:dyDescent="0.25">
      <c r="A1003" t="s">
        <v>984</v>
      </c>
      <c r="B1003" t="s">
        <v>1594</v>
      </c>
      <c r="C1003">
        <v>10</v>
      </c>
      <c r="D1003">
        <v>4058598</v>
      </c>
      <c r="E1003">
        <v>4.0585979999999999</v>
      </c>
      <c r="F1003">
        <v>3015</v>
      </c>
      <c r="G1003">
        <v>405859.8</v>
      </c>
      <c r="H1003">
        <v>1859571</v>
      </c>
    </row>
    <row r="1004" spans="1:8" x14ac:dyDescent="0.25">
      <c r="A1004" t="s">
        <v>985</v>
      </c>
      <c r="B1004" t="s">
        <v>1594</v>
      </c>
      <c r="C1004">
        <v>41</v>
      </c>
      <c r="D1004">
        <v>1648399</v>
      </c>
      <c r="E1004">
        <v>1.6483989999999999</v>
      </c>
      <c r="F1004">
        <v>2272</v>
      </c>
      <c r="G1004">
        <v>40204.9</v>
      </c>
      <c r="H1004">
        <v>191454</v>
      </c>
    </row>
    <row r="1005" spans="1:8" x14ac:dyDescent="0.25">
      <c r="A1005" t="s">
        <v>986</v>
      </c>
      <c r="B1005" t="s">
        <v>1594</v>
      </c>
      <c r="C1005">
        <v>31</v>
      </c>
      <c r="D1005">
        <v>2179419</v>
      </c>
      <c r="E1005">
        <v>2.1794190000000002</v>
      </c>
      <c r="F1005">
        <v>3443</v>
      </c>
      <c r="G1005">
        <v>70303.8</v>
      </c>
      <c r="H1005">
        <v>261017</v>
      </c>
    </row>
    <row r="1006" spans="1:8" x14ac:dyDescent="0.25">
      <c r="A1006" t="s">
        <v>987</v>
      </c>
      <c r="B1006" t="s">
        <v>1594</v>
      </c>
      <c r="C1006">
        <v>16</v>
      </c>
      <c r="D1006">
        <v>2128078</v>
      </c>
      <c r="E1006">
        <v>2.1280779999999999</v>
      </c>
      <c r="F1006">
        <v>13828</v>
      </c>
      <c r="G1006">
        <v>133004.9</v>
      </c>
      <c r="H1006">
        <v>374529</v>
      </c>
    </row>
    <row r="1007" spans="1:8" x14ac:dyDescent="0.25">
      <c r="A1007" t="s">
        <v>988</v>
      </c>
      <c r="B1007" t="s">
        <v>1594</v>
      </c>
      <c r="C1007">
        <v>17</v>
      </c>
      <c r="D1007">
        <v>2776186</v>
      </c>
      <c r="E1007">
        <v>2.776186</v>
      </c>
      <c r="F1007">
        <v>8411</v>
      </c>
      <c r="G1007">
        <v>163305.1</v>
      </c>
      <c r="H1007">
        <v>585900</v>
      </c>
    </row>
    <row r="1008" spans="1:8" x14ac:dyDescent="0.25">
      <c r="A1008" t="s">
        <v>989</v>
      </c>
      <c r="B1008" t="s">
        <v>1594</v>
      </c>
      <c r="C1008">
        <v>48</v>
      </c>
      <c r="D1008">
        <v>2323286</v>
      </c>
      <c r="E1008">
        <v>2.323286</v>
      </c>
      <c r="F1008">
        <v>8969</v>
      </c>
      <c r="G1008">
        <v>48401.8</v>
      </c>
      <c r="H1008">
        <v>317015</v>
      </c>
    </row>
    <row r="1009" spans="1:8" x14ac:dyDescent="0.25">
      <c r="A1009" t="s">
        <v>990</v>
      </c>
      <c r="B1009" t="s">
        <v>1594</v>
      </c>
      <c r="C1009">
        <v>37</v>
      </c>
      <c r="D1009">
        <v>1402190</v>
      </c>
      <c r="E1009">
        <v>1.40219</v>
      </c>
      <c r="F1009">
        <v>2820</v>
      </c>
      <c r="G1009">
        <v>37897</v>
      </c>
      <c r="H1009">
        <v>122877</v>
      </c>
    </row>
    <row r="1010" spans="1:8" x14ac:dyDescent="0.25">
      <c r="A1010" t="s">
        <v>991</v>
      </c>
      <c r="B1010" t="s">
        <v>1594</v>
      </c>
      <c r="C1010">
        <v>17</v>
      </c>
      <c r="D1010">
        <v>1190708</v>
      </c>
      <c r="E1010">
        <v>1.1907080000000001</v>
      </c>
      <c r="F1010">
        <v>17176</v>
      </c>
      <c r="G1010">
        <v>70041.600000000006</v>
      </c>
      <c r="H1010">
        <v>234213</v>
      </c>
    </row>
    <row r="1011" spans="1:8" x14ac:dyDescent="0.25">
      <c r="A1011" t="s">
        <v>992</v>
      </c>
      <c r="B1011" t="s">
        <v>1594</v>
      </c>
      <c r="C1011">
        <v>102</v>
      </c>
      <c r="D1011">
        <v>1850865</v>
      </c>
      <c r="E1011">
        <v>1.850865</v>
      </c>
      <c r="F1011">
        <v>2012</v>
      </c>
      <c r="G1011">
        <v>18145.7</v>
      </c>
      <c r="H1011">
        <v>195598</v>
      </c>
    </row>
    <row r="1012" spans="1:8" x14ac:dyDescent="0.25">
      <c r="A1012" t="s">
        <v>993</v>
      </c>
      <c r="B1012" t="s">
        <v>1594</v>
      </c>
      <c r="C1012">
        <v>31</v>
      </c>
      <c r="D1012">
        <v>1693042</v>
      </c>
      <c r="E1012">
        <v>1.6930419999999999</v>
      </c>
      <c r="F1012">
        <v>5530</v>
      </c>
      <c r="G1012">
        <v>54614.3</v>
      </c>
      <c r="H1012">
        <v>245238</v>
      </c>
    </row>
    <row r="1013" spans="1:8" x14ac:dyDescent="0.25">
      <c r="A1013" t="s">
        <v>994</v>
      </c>
      <c r="B1013" t="s">
        <v>1594</v>
      </c>
      <c r="C1013">
        <v>34</v>
      </c>
      <c r="D1013">
        <v>1712704</v>
      </c>
      <c r="E1013">
        <v>1.712704</v>
      </c>
      <c r="F1013">
        <v>8727</v>
      </c>
      <c r="G1013">
        <v>50373.599999999999</v>
      </c>
      <c r="H1013">
        <v>133624</v>
      </c>
    </row>
    <row r="1014" spans="1:8" x14ac:dyDescent="0.25">
      <c r="A1014" t="s">
        <v>995</v>
      </c>
      <c r="B1014" t="s">
        <v>1594</v>
      </c>
      <c r="C1014">
        <v>54</v>
      </c>
      <c r="D1014">
        <v>3636655</v>
      </c>
      <c r="E1014">
        <v>3.6366550000000002</v>
      </c>
      <c r="F1014">
        <v>2089</v>
      </c>
      <c r="G1014">
        <v>67345.5</v>
      </c>
      <c r="H1014">
        <v>604556</v>
      </c>
    </row>
    <row r="1015" spans="1:8" x14ac:dyDescent="0.25">
      <c r="A1015" t="s">
        <v>996</v>
      </c>
      <c r="B1015" t="s">
        <v>1594</v>
      </c>
      <c r="C1015">
        <v>67</v>
      </c>
      <c r="D1015">
        <v>2714747</v>
      </c>
      <c r="E1015">
        <v>2.714747</v>
      </c>
      <c r="F1015">
        <v>5013</v>
      </c>
      <c r="G1015">
        <v>40518.6</v>
      </c>
      <c r="H1015">
        <v>225577</v>
      </c>
    </row>
    <row r="1016" spans="1:8" x14ac:dyDescent="0.25">
      <c r="A1016" t="s">
        <v>997</v>
      </c>
      <c r="B1016" t="s">
        <v>1594</v>
      </c>
      <c r="C1016">
        <v>50</v>
      </c>
      <c r="D1016">
        <v>2524735</v>
      </c>
      <c r="E1016">
        <v>2.5247350000000002</v>
      </c>
      <c r="F1016">
        <v>2551</v>
      </c>
      <c r="G1016">
        <v>50494.7</v>
      </c>
      <c r="H1016">
        <v>238230</v>
      </c>
    </row>
    <row r="1017" spans="1:8" x14ac:dyDescent="0.25">
      <c r="A1017" t="s">
        <v>998</v>
      </c>
      <c r="B1017" t="s">
        <v>1594</v>
      </c>
      <c r="C1017">
        <v>20</v>
      </c>
      <c r="D1017">
        <v>2068193</v>
      </c>
      <c r="E1017">
        <v>2.0681929999999999</v>
      </c>
      <c r="F1017">
        <v>10315</v>
      </c>
      <c r="G1017">
        <v>103409.7</v>
      </c>
      <c r="H1017">
        <v>324311</v>
      </c>
    </row>
    <row r="1018" spans="1:8" x14ac:dyDescent="0.25">
      <c r="A1018" t="s">
        <v>1272</v>
      </c>
      <c r="B1018" t="s">
        <v>1594</v>
      </c>
      <c r="C1018">
        <v>7</v>
      </c>
      <c r="D1018">
        <v>3025881</v>
      </c>
      <c r="E1018">
        <v>3.025881</v>
      </c>
      <c r="F1018">
        <v>111136</v>
      </c>
      <c r="G1018">
        <v>432268.7</v>
      </c>
      <c r="H1018">
        <v>780501</v>
      </c>
    </row>
    <row r="1019" spans="1:8" x14ac:dyDescent="0.25">
      <c r="A1019" t="s">
        <v>1273</v>
      </c>
      <c r="B1019" t="s">
        <v>1594</v>
      </c>
      <c r="C1019">
        <v>29</v>
      </c>
      <c r="D1019">
        <v>1941131</v>
      </c>
      <c r="E1019">
        <v>1.9411309999999999</v>
      </c>
      <c r="F1019">
        <v>7026</v>
      </c>
      <c r="G1019">
        <v>66935.600000000006</v>
      </c>
      <c r="H1019">
        <v>338764</v>
      </c>
    </row>
    <row r="1020" spans="1:8" x14ac:dyDescent="0.25">
      <c r="A1020" t="s">
        <v>1274</v>
      </c>
      <c r="B1020" t="s">
        <v>1594</v>
      </c>
      <c r="C1020">
        <v>8</v>
      </c>
      <c r="D1020">
        <v>2173017</v>
      </c>
      <c r="E1020">
        <v>2.1730170000000002</v>
      </c>
      <c r="F1020">
        <v>15344</v>
      </c>
      <c r="G1020">
        <v>271627.09999999998</v>
      </c>
      <c r="H1020">
        <v>618970</v>
      </c>
    </row>
    <row r="1021" spans="1:8" x14ac:dyDescent="0.25">
      <c r="A1021" t="s">
        <v>1275</v>
      </c>
      <c r="B1021" t="s">
        <v>1594</v>
      </c>
      <c r="C1021">
        <v>105</v>
      </c>
      <c r="D1021">
        <v>2517628</v>
      </c>
      <c r="E1021">
        <v>2.5176280000000002</v>
      </c>
      <c r="F1021">
        <v>2022</v>
      </c>
      <c r="G1021">
        <v>23977.4</v>
      </c>
      <c r="H1021">
        <v>271096</v>
      </c>
    </row>
    <row r="1022" spans="1:8" x14ac:dyDescent="0.25">
      <c r="A1022" t="s">
        <v>1276</v>
      </c>
      <c r="B1022" t="s">
        <v>1594</v>
      </c>
      <c r="C1022">
        <v>38</v>
      </c>
      <c r="D1022">
        <v>2086162</v>
      </c>
      <c r="E1022">
        <v>2.0861619999999998</v>
      </c>
      <c r="F1022">
        <v>2114</v>
      </c>
      <c r="G1022">
        <v>54899</v>
      </c>
      <c r="H1022">
        <v>217167</v>
      </c>
    </row>
    <row r="1023" spans="1:8" x14ac:dyDescent="0.25">
      <c r="A1023" t="s">
        <v>1277</v>
      </c>
      <c r="B1023" t="s">
        <v>1594</v>
      </c>
      <c r="C1023">
        <v>11</v>
      </c>
      <c r="D1023">
        <v>2042362</v>
      </c>
      <c r="E1023">
        <v>2.0423619999999998</v>
      </c>
      <c r="F1023">
        <v>34913</v>
      </c>
      <c r="G1023">
        <v>185669.3</v>
      </c>
      <c r="H1023">
        <v>716624</v>
      </c>
    </row>
    <row r="1024" spans="1:8" x14ac:dyDescent="0.25">
      <c r="A1024" t="s">
        <v>1278</v>
      </c>
      <c r="B1024" t="s">
        <v>1594</v>
      </c>
      <c r="C1024">
        <v>8</v>
      </c>
      <c r="D1024">
        <v>4478696</v>
      </c>
      <c r="E1024">
        <v>4.4786960000000002</v>
      </c>
      <c r="F1024">
        <v>36614</v>
      </c>
      <c r="G1024">
        <v>559837</v>
      </c>
      <c r="H1024">
        <v>1885943</v>
      </c>
    </row>
    <row r="1025" spans="1:8" x14ac:dyDescent="0.25">
      <c r="A1025" t="s">
        <v>1279</v>
      </c>
      <c r="B1025" t="s">
        <v>1594</v>
      </c>
      <c r="C1025">
        <v>14</v>
      </c>
      <c r="D1025">
        <v>2484840</v>
      </c>
      <c r="E1025">
        <v>2.4848400000000002</v>
      </c>
      <c r="F1025">
        <v>8046</v>
      </c>
      <c r="G1025">
        <v>177488.6</v>
      </c>
      <c r="H1025">
        <v>562824</v>
      </c>
    </row>
    <row r="1026" spans="1:8" x14ac:dyDescent="0.25">
      <c r="A1026" t="s">
        <v>1280</v>
      </c>
      <c r="B1026" t="s">
        <v>1594</v>
      </c>
      <c r="C1026">
        <v>25</v>
      </c>
      <c r="D1026">
        <v>2296003</v>
      </c>
      <c r="E1026">
        <v>2.2960029999999998</v>
      </c>
      <c r="F1026">
        <v>2519</v>
      </c>
      <c r="G1026">
        <v>91840.1</v>
      </c>
      <c r="H1026">
        <v>437633</v>
      </c>
    </row>
    <row r="1027" spans="1:8" x14ac:dyDescent="0.25">
      <c r="A1027" t="s">
        <v>1281</v>
      </c>
      <c r="B1027" t="s">
        <v>1594</v>
      </c>
      <c r="C1027">
        <v>31</v>
      </c>
      <c r="D1027">
        <v>2288786</v>
      </c>
      <c r="E1027">
        <v>2.288786</v>
      </c>
      <c r="F1027">
        <v>2018</v>
      </c>
      <c r="G1027">
        <v>73831.8</v>
      </c>
      <c r="H1027">
        <v>221870</v>
      </c>
    </row>
    <row r="1028" spans="1:8" x14ac:dyDescent="0.25">
      <c r="A1028" t="s">
        <v>1282</v>
      </c>
      <c r="B1028" t="s">
        <v>1594</v>
      </c>
      <c r="C1028">
        <v>40</v>
      </c>
      <c r="D1028">
        <v>2606959</v>
      </c>
      <c r="E1028">
        <v>2.6069589999999998</v>
      </c>
      <c r="F1028">
        <v>3066</v>
      </c>
      <c r="G1028">
        <v>65174</v>
      </c>
      <c r="H1028">
        <v>310803</v>
      </c>
    </row>
    <row r="1029" spans="1:8" x14ac:dyDescent="0.25">
      <c r="A1029" t="s">
        <v>1283</v>
      </c>
      <c r="B1029" t="s">
        <v>1594</v>
      </c>
      <c r="C1029">
        <v>54</v>
      </c>
      <c r="D1029">
        <v>3376850</v>
      </c>
      <c r="E1029">
        <v>3.3768500000000001</v>
      </c>
      <c r="F1029">
        <v>2497</v>
      </c>
      <c r="G1029">
        <v>62534.3</v>
      </c>
      <c r="H1029">
        <v>499722</v>
      </c>
    </row>
    <row r="1030" spans="1:8" x14ac:dyDescent="0.25">
      <c r="A1030" t="s">
        <v>1284</v>
      </c>
      <c r="B1030" t="s">
        <v>1594</v>
      </c>
      <c r="C1030">
        <v>1</v>
      </c>
      <c r="D1030">
        <v>2428681</v>
      </c>
      <c r="E1030">
        <v>2.4286810000000001</v>
      </c>
      <c r="F1030">
        <v>2428681</v>
      </c>
      <c r="G1030">
        <v>2428681</v>
      </c>
      <c r="H1030">
        <v>2428681</v>
      </c>
    </row>
    <row r="1031" spans="1:8" x14ac:dyDescent="0.25">
      <c r="A1031" t="s">
        <v>1285</v>
      </c>
      <c r="B1031" t="s">
        <v>1594</v>
      </c>
      <c r="C1031">
        <v>16</v>
      </c>
      <c r="D1031">
        <v>2746724</v>
      </c>
      <c r="E1031">
        <v>2.7467239999999999</v>
      </c>
      <c r="F1031">
        <v>46314</v>
      </c>
      <c r="G1031">
        <v>171670.3</v>
      </c>
      <c r="H1031">
        <v>661480</v>
      </c>
    </row>
    <row r="1032" spans="1:8" x14ac:dyDescent="0.25">
      <c r="A1032" t="s">
        <v>1286</v>
      </c>
      <c r="B1032" t="s">
        <v>1594</v>
      </c>
      <c r="C1032">
        <v>29</v>
      </c>
      <c r="D1032">
        <v>2601930</v>
      </c>
      <c r="E1032">
        <v>2.6019299999999999</v>
      </c>
      <c r="F1032">
        <v>4293</v>
      </c>
      <c r="G1032">
        <v>89721.7</v>
      </c>
      <c r="H1032">
        <v>294036</v>
      </c>
    </row>
    <row r="1033" spans="1:8" x14ac:dyDescent="0.25">
      <c r="A1033" t="s">
        <v>1287</v>
      </c>
      <c r="B1033" t="s">
        <v>1594</v>
      </c>
      <c r="C1033">
        <v>42</v>
      </c>
      <c r="D1033">
        <v>3524716</v>
      </c>
      <c r="E1033">
        <v>3.5247160000000002</v>
      </c>
      <c r="F1033">
        <v>2052</v>
      </c>
      <c r="G1033">
        <v>83921.8</v>
      </c>
      <c r="H1033">
        <v>549573</v>
      </c>
    </row>
    <row r="1034" spans="1:8" x14ac:dyDescent="0.25">
      <c r="A1034" t="s">
        <v>1288</v>
      </c>
      <c r="B1034" t="s">
        <v>1594</v>
      </c>
      <c r="C1034">
        <v>10</v>
      </c>
      <c r="D1034">
        <v>6734574</v>
      </c>
      <c r="E1034">
        <v>6.7345740000000003</v>
      </c>
      <c r="F1034">
        <v>46052</v>
      </c>
      <c r="G1034">
        <v>673457.4</v>
      </c>
      <c r="H1034">
        <v>1965686</v>
      </c>
    </row>
    <row r="1035" spans="1:8" x14ac:dyDescent="0.25">
      <c r="A1035" t="s">
        <v>1289</v>
      </c>
      <c r="B1035" t="s">
        <v>1594</v>
      </c>
      <c r="C1035">
        <v>42</v>
      </c>
      <c r="D1035">
        <v>4634459</v>
      </c>
      <c r="E1035">
        <v>4.6344589999999997</v>
      </c>
      <c r="F1035">
        <v>2136</v>
      </c>
      <c r="G1035">
        <v>110344.3</v>
      </c>
      <c r="H1035">
        <v>556282</v>
      </c>
    </row>
    <row r="1036" spans="1:8" x14ac:dyDescent="0.25">
      <c r="A1036" t="s">
        <v>1290</v>
      </c>
      <c r="B1036" t="s">
        <v>1594</v>
      </c>
      <c r="C1036">
        <v>8</v>
      </c>
      <c r="D1036">
        <v>3187533</v>
      </c>
      <c r="E1036">
        <v>3.1875330000000002</v>
      </c>
      <c r="F1036">
        <v>16895</v>
      </c>
      <c r="G1036">
        <v>398441.6</v>
      </c>
      <c r="H1036">
        <v>943820</v>
      </c>
    </row>
    <row r="1037" spans="1:8" x14ac:dyDescent="0.25">
      <c r="A1037" t="s">
        <v>1291</v>
      </c>
      <c r="B1037" t="s">
        <v>1594</v>
      </c>
      <c r="C1037">
        <v>54</v>
      </c>
      <c r="D1037">
        <v>4870107</v>
      </c>
      <c r="E1037">
        <v>4.870107</v>
      </c>
      <c r="F1037">
        <v>5149</v>
      </c>
      <c r="G1037">
        <v>90187.199999999997</v>
      </c>
      <c r="H1037">
        <v>490035</v>
      </c>
    </row>
    <row r="1038" spans="1:8" x14ac:dyDescent="0.25">
      <c r="A1038" t="s">
        <v>1292</v>
      </c>
      <c r="B1038" t="s">
        <v>1594</v>
      </c>
      <c r="C1038">
        <v>22</v>
      </c>
      <c r="D1038">
        <v>4442091</v>
      </c>
      <c r="E1038">
        <v>4.4420909999999996</v>
      </c>
      <c r="F1038">
        <v>14060</v>
      </c>
      <c r="G1038">
        <v>201913.2</v>
      </c>
      <c r="H1038">
        <v>510157</v>
      </c>
    </row>
    <row r="1039" spans="1:8" x14ac:dyDescent="0.25">
      <c r="A1039" t="s">
        <v>1293</v>
      </c>
      <c r="B1039" t="s">
        <v>1594</v>
      </c>
      <c r="C1039">
        <v>28</v>
      </c>
      <c r="D1039">
        <v>3863170</v>
      </c>
      <c r="E1039">
        <v>3.8631700000000002</v>
      </c>
      <c r="F1039">
        <v>19233</v>
      </c>
      <c r="G1039">
        <v>137970.4</v>
      </c>
      <c r="H1039">
        <v>364534</v>
      </c>
    </row>
    <row r="1040" spans="1:8" x14ac:dyDescent="0.25">
      <c r="A1040" t="s">
        <v>1294</v>
      </c>
      <c r="B1040" t="s">
        <v>1594</v>
      </c>
      <c r="C1040">
        <v>87</v>
      </c>
      <c r="D1040">
        <v>3396406</v>
      </c>
      <c r="E1040">
        <v>3.3964059999999998</v>
      </c>
      <c r="F1040">
        <v>3748</v>
      </c>
      <c r="G1040">
        <v>39039.1</v>
      </c>
      <c r="H1040">
        <v>176075</v>
      </c>
    </row>
    <row r="1041" spans="1:8" x14ac:dyDescent="0.25">
      <c r="A1041" t="s">
        <v>1295</v>
      </c>
      <c r="B1041" t="s">
        <v>1594</v>
      </c>
      <c r="C1041">
        <v>70</v>
      </c>
      <c r="D1041">
        <v>4080855</v>
      </c>
      <c r="E1041">
        <v>4.0808549999999997</v>
      </c>
      <c r="F1041">
        <v>2266</v>
      </c>
      <c r="G1041">
        <v>58297.9</v>
      </c>
      <c r="H1041">
        <v>677771</v>
      </c>
    </row>
    <row r="1042" spans="1:8" x14ac:dyDescent="0.25">
      <c r="A1042" t="s">
        <v>1296</v>
      </c>
      <c r="B1042" t="s">
        <v>1594</v>
      </c>
      <c r="C1042">
        <v>32</v>
      </c>
      <c r="D1042">
        <v>5309674</v>
      </c>
      <c r="E1042">
        <v>5.3096740000000002</v>
      </c>
      <c r="F1042">
        <v>22154</v>
      </c>
      <c r="G1042">
        <v>165927.29999999999</v>
      </c>
      <c r="H1042">
        <v>651701</v>
      </c>
    </row>
    <row r="1043" spans="1:8" x14ac:dyDescent="0.25">
      <c r="A1043" t="s">
        <v>1297</v>
      </c>
      <c r="B1043" t="s">
        <v>1594</v>
      </c>
      <c r="C1043">
        <v>27</v>
      </c>
      <c r="D1043">
        <v>4357751</v>
      </c>
      <c r="E1043">
        <v>4.3577510000000004</v>
      </c>
      <c r="F1043">
        <v>9039</v>
      </c>
      <c r="G1043">
        <v>161398.20000000001</v>
      </c>
      <c r="H1043">
        <v>941475</v>
      </c>
    </row>
    <row r="1044" spans="1:8" x14ac:dyDescent="0.25">
      <c r="A1044" t="s">
        <v>1298</v>
      </c>
      <c r="B1044" t="s">
        <v>1594</v>
      </c>
      <c r="C1044">
        <v>6</v>
      </c>
      <c r="D1044">
        <v>3659028</v>
      </c>
      <c r="E1044">
        <v>3.6590280000000002</v>
      </c>
      <c r="F1044">
        <v>93906</v>
      </c>
      <c r="G1044">
        <v>609838</v>
      </c>
      <c r="H1044">
        <v>1548122</v>
      </c>
    </row>
    <row r="1045" spans="1:8" x14ac:dyDescent="0.25">
      <c r="A1045" t="s">
        <v>1299</v>
      </c>
      <c r="B1045" t="s">
        <v>1594</v>
      </c>
      <c r="C1045">
        <v>30</v>
      </c>
      <c r="D1045">
        <v>6288898</v>
      </c>
      <c r="E1045">
        <v>6.2888979999999997</v>
      </c>
      <c r="F1045">
        <v>10504</v>
      </c>
      <c r="G1045">
        <v>209629.9</v>
      </c>
      <c r="H1045">
        <v>741541</v>
      </c>
    </row>
    <row r="1046" spans="1:8" x14ac:dyDescent="0.25">
      <c r="A1046" t="s">
        <v>1300</v>
      </c>
      <c r="B1046" t="s">
        <v>1594</v>
      </c>
      <c r="C1046">
        <v>30</v>
      </c>
      <c r="D1046">
        <v>3334958</v>
      </c>
      <c r="E1046">
        <v>3.3349579999999999</v>
      </c>
      <c r="F1046">
        <v>5258</v>
      </c>
      <c r="G1046">
        <v>111165.3</v>
      </c>
      <c r="H1046">
        <v>403861</v>
      </c>
    </row>
    <row r="1047" spans="1:8" x14ac:dyDescent="0.25">
      <c r="A1047" t="s">
        <v>1301</v>
      </c>
      <c r="B1047" t="s">
        <v>1594</v>
      </c>
      <c r="C1047">
        <v>4</v>
      </c>
      <c r="D1047">
        <v>7388145</v>
      </c>
      <c r="E1047">
        <v>7.3881449999999997</v>
      </c>
      <c r="F1047">
        <v>14506</v>
      </c>
      <c r="G1047">
        <v>1847036.3</v>
      </c>
      <c r="H1047">
        <v>3983397</v>
      </c>
    </row>
    <row r="1048" spans="1:8" x14ac:dyDescent="0.25">
      <c r="A1048" t="s">
        <v>1302</v>
      </c>
      <c r="B1048" t="s">
        <v>1594</v>
      </c>
      <c r="C1048">
        <v>23</v>
      </c>
      <c r="D1048">
        <v>7281348</v>
      </c>
      <c r="E1048">
        <v>7.2813480000000004</v>
      </c>
      <c r="F1048">
        <v>2271</v>
      </c>
      <c r="G1048">
        <v>316580.3</v>
      </c>
      <c r="H1048">
        <v>1895825</v>
      </c>
    </row>
    <row r="1049" spans="1:8" x14ac:dyDescent="0.25">
      <c r="A1049" t="s">
        <v>1303</v>
      </c>
      <c r="B1049" t="s">
        <v>1594</v>
      </c>
      <c r="C1049">
        <v>41</v>
      </c>
      <c r="D1049">
        <v>4908759</v>
      </c>
      <c r="E1049">
        <v>4.9087589999999999</v>
      </c>
      <c r="F1049">
        <v>2008</v>
      </c>
      <c r="G1049">
        <v>119725.8</v>
      </c>
      <c r="H1049">
        <v>444924</v>
      </c>
    </row>
    <row r="1050" spans="1:8" x14ac:dyDescent="0.25">
      <c r="A1050" t="s">
        <v>1304</v>
      </c>
      <c r="B1050" t="s">
        <v>1594</v>
      </c>
      <c r="C1050">
        <v>5</v>
      </c>
      <c r="D1050">
        <v>4294434</v>
      </c>
      <c r="E1050">
        <v>4.2944339999999999</v>
      </c>
      <c r="F1050">
        <v>168293</v>
      </c>
      <c r="G1050">
        <v>858886.8</v>
      </c>
      <c r="H1050">
        <v>1893477</v>
      </c>
    </row>
    <row r="1051" spans="1:8" x14ac:dyDescent="0.25">
      <c r="A1051" t="s">
        <v>1305</v>
      </c>
      <c r="B1051" t="s">
        <v>1594</v>
      </c>
      <c r="C1051">
        <v>24</v>
      </c>
      <c r="D1051">
        <v>3844496</v>
      </c>
      <c r="E1051">
        <v>3.8444959999999999</v>
      </c>
      <c r="F1051">
        <v>4386</v>
      </c>
      <c r="G1051">
        <v>160187.29999999999</v>
      </c>
      <c r="H1051">
        <v>524785</v>
      </c>
    </row>
    <row r="1052" spans="1:8" x14ac:dyDescent="0.25">
      <c r="A1052" t="s">
        <v>1306</v>
      </c>
      <c r="B1052" t="s">
        <v>1594</v>
      </c>
      <c r="C1052">
        <v>12</v>
      </c>
      <c r="D1052">
        <v>5720850</v>
      </c>
      <c r="E1052">
        <v>5.7208500000000004</v>
      </c>
      <c r="F1052">
        <v>15595</v>
      </c>
      <c r="G1052">
        <v>476737.5</v>
      </c>
      <c r="H1052">
        <v>1600519</v>
      </c>
    </row>
    <row r="1053" spans="1:8" x14ac:dyDescent="0.25">
      <c r="A1053" t="s">
        <v>1307</v>
      </c>
      <c r="B1053" t="s">
        <v>1594</v>
      </c>
      <c r="C1053">
        <v>2</v>
      </c>
      <c r="D1053">
        <v>4488356</v>
      </c>
      <c r="E1053">
        <v>4.4883559999999996</v>
      </c>
      <c r="F1053">
        <v>1178436</v>
      </c>
      <c r="G1053">
        <v>2244178</v>
      </c>
      <c r="H1053">
        <v>3309920</v>
      </c>
    </row>
    <row r="1054" spans="1:8" x14ac:dyDescent="0.25">
      <c r="A1054" t="s">
        <v>1308</v>
      </c>
      <c r="B1054" t="s">
        <v>1594</v>
      </c>
      <c r="C1054">
        <v>23</v>
      </c>
      <c r="D1054">
        <v>2084135</v>
      </c>
      <c r="E1054">
        <v>2.0841349999999998</v>
      </c>
      <c r="F1054">
        <v>14721</v>
      </c>
      <c r="G1054">
        <v>90614.6</v>
      </c>
      <c r="H1054">
        <v>267325</v>
      </c>
    </row>
    <row r="1055" spans="1:8" x14ac:dyDescent="0.25">
      <c r="A1055" t="s">
        <v>1309</v>
      </c>
      <c r="B1055" t="s">
        <v>1594</v>
      </c>
      <c r="C1055">
        <v>21</v>
      </c>
      <c r="D1055">
        <v>2488331</v>
      </c>
      <c r="E1055">
        <v>2.4883310000000001</v>
      </c>
      <c r="F1055">
        <v>19364</v>
      </c>
      <c r="G1055">
        <v>118492</v>
      </c>
      <c r="H1055">
        <v>505203</v>
      </c>
    </row>
    <row r="1056" spans="1:8" x14ac:dyDescent="0.25">
      <c r="A1056" t="s">
        <v>1310</v>
      </c>
      <c r="B1056" t="s">
        <v>1594</v>
      </c>
      <c r="C1056">
        <v>35</v>
      </c>
      <c r="D1056">
        <v>3296314</v>
      </c>
      <c r="E1056">
        <v>3.2963140000000002</v>
      </c>
      <c r="F1056">
        <v>10203</v>
      </c>
      <c r="G1056">
        <v>94180.4</v>
      </c>
      <c r="H1056">
        <v>282231</v>
      </c>
    </row>
    <row r="1057" spans="1:8" x14ac:dyDescent="0.25">
      <c r="A1057" t="s">
        <v>1311</v>
      </c>
      <c r="B1057" t="s">
        <v>1594</v>
      </c>
      <c r="C1057">
        <v>53</v>
      </c>
      <c r="D1057">
        <v>2278039</v>
      </c>
      <c r="E1057">
        <v>2.2780390000000001</v>
      </c>
      <c r="F1057">
        <v>7131</v>
      </c>
      <c r="G1057">
        <v>42981.9</v>
      </c>
      <c r="H1057">
        <v>142489</v>
      </c>
    </row>
    <row r="1058" spans="1:8" x14ac:dyDescent="0.25">
      <c r="A1058" t="s">
        <v>1312</v>
      </c>
      <c r="B1058" t="s">
        <v>1594</v>
      </c>
      <c r="C1058">
        <v>7</v>
      </c>
      <c r="D1058">
        <v>2168750</v>
      </c>
      <c r="E1058">
        <v>2.1687500000000002</v>
      </c>
      <c r="F1058">
        <v>5368</v>
      </c>
      <c r="G1058">
        <v>309821.40000000002</v>
      </c>
      <c r="H1058">
        <v>936904</v>
      </c>
    </row>
    <row r="1059" spans="1:8" x14ac:dyDescent="0.25">
      <c r="A1059" t="s">
        <v>1313</v>
      </c>
      <c r="B1059" t="s">
        <v>1594</v>
      </c>
      <c r="C1059">
        <v>24</v>
      </c>
      <c r="D1059">
        <v>2038680</v>
      </c>
      <c r="E1059">
        <v>2.0386799999999998</v>
      </c>
      <c r="F1059">
        <v>3683</v>
      </c>
      <c r="G1059">
        <v>84945</v>
      </c>
      <c r="H1059">
        <v>367618</v>
      </c>
    </row>
    <row r="1060" spans="1:8" x14ac:dyDescent="0.25">
      <c r="A1060" t="s">
        <v>1314</v>
      </c>
      <c r="B1060" t="s">
        <v>1594</v>
      </c>
      <c r="C1060">
        <v>18</v>
      </c>
      <c r="D1060">
        <v>2889720</v>
      </c>
      <c r="E1060">
        <v>2.8897200000000001</v>
      </c>
      <c r="F1060">
        <v>21878</v>
      </c>
      <c r="G1060">
        <v>160540</v>
      </c>
      <c r="H1060">
        <v>475928</v>
      </c>
    </row>
    <row r="1061" spans="1:8" x14ac:dyDescent="0.25">
      <c r="A1061" t="s">
        <v>1315</v>
      </c>
      <c r="B1061" t="s">
        <v>1594</v>
      </c>
      <c r="C1061">
        <v>45</v>
      </c>
      <c r="D1061">
        <v>2225495</v>
      </c>
      <c r="E1061">
        <v>2.225495</v>
      </c>
      <c r="F1061">
        <v>2189</v>
      </c>
      <c r="G1061">
        <v>49455.4</v>
      </c>
      <c r="H1061">
        <v>323548</v>
      </c>
    </row>
    <row r="1062" spans="1:8" x14ac:dyDescent="0.25">
      <c r="A1062" t="s">
        <v>1316</v>
      </c>
      <c r="B1062" t="s">
        <v>1594</v>
      </c>
      <c r="C1062">
        <v>39</v>
      </c>
      <c r="D1062">
        <v>3631420</v>
      </c>
      <c r="E1062">
        <v>3.6314199999999999</v>
      </c>
      <c r="F1062">
        <v>5726</v>
      </c>
      <c r="G1062">
        <v>93113.3</v>
      </c>
      <c r="H1062">
        <v>336542</v>
      </c>
    </row>
    <row r="1063" spans="1:8" x14ac:dyDescent="0.25">
      <c r="A1063" t="s">
        <v>1317</v>
      </c>
      <c r="B1063" t="s">
        <v>1594</v>
      </c>
      <c r="C1063">
        <v>19</v>
      </c>
      <c r="D1063">
        <v>2992085</v>
      </c>
      <c r="E1063">
        <v>2.9920849999999999</v>
      </c>
      <c r="F1063">
        <v>9062</v>
      </c>
      <c r="G1063">
        <v>157478.20000000001</v>
      </c>
      <c r="H1063">
        <v>460392</v>
      </c>
    </row>
    <row r="1064" spans="1:8" x14ac:dyDescent="0.25">
      <c r="A1064" t="s">
        <v>1318</v>
      </c>
      <c r="B1064" t="s">
        <v>1594</v>
      </c>
      <c r="C1064">
        <v>65</v>
      </c>
      <c r="D1064">
        <v>3904782</v>
      </c>
      <c r="E1064">
        <v>3.904782</v>
      </c>
      <c r="F1064">
        <v>2191</v>
      </c>
      <c r="G1064">
        <v>60073.599999999999</v>
      </c>
      <c r="H1064">
        <v>360030</v>
      </c>
    </row>
    <row r="1065" spans="1:8" x14ac:dyDescent="0.25">
      <c r="A1065" t="s">
        <v>1319</v>
      </c>
      <c r="B1065" t="s">
        <v>1594</v>
      </c>
      <c r="C1065">
        <v>9</v>
      </c>
      <c r="D1065">
        <v>4502910</v>
      </c>
      <c r="E1065">
        <v>4.50291</v>
      </c>
      <c r="F1065">
        <v>44250</v>
      </c>
      <c r="G1065">
        <v>500323.3</v>
      </c>
      <c r="H1065">
        <v>1697601</v>
      </c>
    </row>
    <row r="1066" spans="1:8" x14ac:dyDescent="0.25">
      <c r="A1066" t="s">
        <v>1320</v>
      </c>
      <c r="B1066" t="s">
        <v>1594</v>
      </c>
      <c r="C1066">
        <v>27</v>
      </c>
      <c r="D1066">
        <v>3255670</v>
      </c>
      <c r="E1066">
        <v>3.2556699999999998</v>
      </c>
      <c r="F1066">
        <v>2411</v>
      </c>
      <c r="G1066">
        <v>120580.4</v>
      </c>
      <c r="H1066">
        <v>503606</v>
      </c>
    </row>
    <row r="1067" spans="1:8" x14ac:dyDescent="0.25">
      <c r="A1067" t="s">
        <v>1321</v>
      </c>
      <c r="B1067" t="s">
        <v>1594</v>
      </c>
      <c r="C1067">
        <v>19</v>
      </c>
      <c r="D1067">
        <v>3582139</v>
      </c>
      <c r="E1067">
        <v>3.5821390000000002</v>
      </c>
      <c r="F1067">
        <v>6355</v>
      </c>
      <c r="G1067">
        <v>188533.6</v>
      </c>
      <c r="H1067">
        <v>697877</v>
      </c>
    </row>
    <row r="1068" spans="1:8" x14ac:dyDescent="0.25">
      <c r="A1068" t="s">
        <v>1322</v>
      </c>
      <c r="B1068" t="s">
        <v>1594</v>
      </c>
      <c r="C1068">
        <v>47</v>
      </c>
      <c r="D1068">
        <v>3780518</v>
      </c>
      <c r="E1068">
        <v>3.7805179999999998</v>
      </c>
      <c r="F1068">
        <v>2325</v>
      </c>
      <c r="G1068">
        <v>80436.600000000006</v>
      </c>
      <c r="H1068">
        <v>499033</v>
      </c>
    </row>
    <row r="1069" spans="1:8" x14ac:dyDescent="0.25">
      <c r="A1069" t="s">
        <v>1323</v>
      </c>
      <c r="B1069" t="s">
        <v>1594</v>
      </c>
      <c r="C1069">
        <v>8</v>
      </c>
      <c r="D1069">
        <v>4265691</v>
      </c>
      <c r="E1069">
        <v>4.2656910000000003</v>
      </c>
      <c r="F1069">
        <v>55058</v>
      </c>
      <c r="G1069">
        <v>533211.4</v>
      </c>
      <c r="H1069">
        <v>1509943</v>
      </c>
    </row>
    <row r="1070" spans="1:8" x14ac:dyDescent="0.25">
      <c r="A1070" t="s">
        <v>1324</v>
      </c>
      <c r="B1070" t="s">
        <v>1594</v>
      </c>
      <c r="C1070">
        <v>14</v>
      </c>
      <c r="D1070">
        <v>4182009</v>
      </c>
      <c r="E1070">
        <v>4.1820089999999999</v>
      </c>
      <c r="F1070">
        <v>20005</v>
      </c>
      <c r="G1070">
        <v>298714.90000000002</v>
      </c>
      <c r="H1070">
        <v>1590972</v>
      </c>
    </row>
    <row r="1071" spans="1:8" x14ac:dyDescent="0.25">
      <c r="A1071" t="s">
        <v>1325</v>
      </c>
      <c r="B1071" t="s">
        <v>1594</v>
      </c>
      <c r="C1071">
        <v>13</v>
      </c>
      <c r="D1071">
        <v>3527403</v>
      </c>
      <c r="E1071">
        <v>3.5274030000000001</v>
      </c>
      <c r="F1071">
        <v>13948</v>
      </c>
      <c r="G1071">
        <v>271338.7</v>
      </c>
      <c r="H1071">
        <v>567653</v>
      </c>
    </row>
    <row r="1072" spans="1:8" x14ac:dyDescent="0.25">
      <c r="A1072" t="s">
        <v>1326</v>
      </c>
      <c r="B1072" t="s">
        <v>1594</v>
      </c>
      <c r="C1072">
        <v>10</v>
      </c>
      <c r="D1072">
        <v>4086090</v>
      </c>
      <c r="E1072">
        <v>4.0860900000000004</v>
      </c>
      <c r="F1072">
        <v>3496</v>
      </c>
      <c r="G1072">
        <v>408609</v>
      </c>
      <c r="H1072">
        <v>1507695</v>
      </c>
    </row>
    <row r="1073" spans="1:8" x14ac:dyDescent="0.25">
      <c r="A1073" t="s">
        <v>1327</v>
      </c>
      <c r="B1073" t="s">
        <v>1594</v>
      </c>
      <c r="C1073">
        <v>6</v>
      </c>
      <c r="D1073">
        <v>3084558</v>
      </c>
      <c r="E1073">
        <v>3.0845579999999999</v>
      </c>
      <c r="F1073">
        <v>28651</v>
      </c>
      <c r="G1073">
        <v>514093</v>
      </c>
      <c r="H1073">
        <v>1273312</v>
      </c>
    </row>
    <row r="1074" spans="1:8" x14ac:dyDescent="0.25">
      <c r="A1074" t="s">
        <v>1328</v>
      </c>
      <c r="B1074" t="s">
        <v>1594</v>
      </c>
      <c r="C1074">
        <v>4</v>
      </c>
      <c r="D1074">
        <v>4447833</v>
      </c>
      <c r="E1074">
        <v>4.4478330000000001</v>
      </c>
      <c r="F1074">
        <v>2039</v>
      </c>
      <c r="G1074">
        <v>1111958.3</v>
      </c>
      <c r="H1074">
        <v>2739480</v>
      </c>
    </row>
    <row r="1075" spans="1:8" x14ac:dyDescent="0.25">
      <c r="A1075" t="s">
        <v>1329</v>
      </c>
      <c r="B1075" t="s">
        <v>1594</v>
      </c>
      <c r="C1075">
        <v>37</v>
      </c>
      <c r="D1075">
        <v>2911730</v>
      </c>
      <c r="E1075">
        <v>2.9117299999999999</v>
      </c>
      <c r="F1075">
        <v>4289</v>
      </c>
      <c r="G1075">
        <v>78695.399999999994</v>
      </c>
      <c r="H1075">
        <v>412305</v>
      </c>
    </row>
    <row r="1076" spans="1:8" x14ac:dyDescent="0.25">
      <c r="A1076" t="s">
        <v>1330</v>
      </c>
      <c r="B1076" t="s">
        <v>1594</v>
      </c>
      <c r="C1076">
        <v>43</v>
      </c>
      <c r="D1076">
        <v>3568188</v>
      </c>
      <c r="E1076">
        <v>3.5681880000000001</v>
      </c>
      <c r="F1076">
        <v>3349</v>
      </c>
      <c r="G1076">
        <v>82981.100000000006</v>
      </c>
      <c r="H1076">
        <v>437405</v>
      </c>
    </row>
    <row r="1077" spans="1:8" x14ac:dyDescent="0.25">
      <c r="A1077" t="s">
        <v>1331</v>
      </c>
      <c r="B1077" t="s">
        <v>1594</v>
      </c>
      <c r="C1077">
        <v>2</v>
      </c>
      <c r="D1077">
        <v>3989593</v>
      </c>
      <c r="E1077">
        <v>3.9895930000000002</v>
      </c>
      <c r="F1077">
        <v>161506</v>
      </c>
      <c r="G1077">
        <v>1994796.5</v>
      </c>
      <c r="H1077">
        <v>3828087</v>
      </c>
    </row>
    <row r="1078" spans="1:8" x14ac:dyDescent="0.25">
      <c r="A1078" t="s">
        <v>1332</v>
      </c>
      <c r="B1078" t="s">
        <v>1594</v>
      </c>
      <c r="C1078">
        <v>42</v>
      </c>
      <c r="D1078">
        <v>4737443</v>
      </c>
      <c r="E1078">
        <v>4.7374429999999998</v>
      </c>
      <c r="F1078">
        <v>2348</v>
      </c>
      <c r="G1078">
        <v>112796.3</v>
      </c>
      <c r="H1078">
        <v>885499</v>
      </c>
    </row>
    <row r="1079" spans="1:8" x14ac:dyDescent="0.25">
      <c r="A1079" t="s">
        <v>1333</v>
      </c>
      <c r="B1079" t="s">
        <v>1594</v>
      </c>
      <c r="C1079">
        <v>26</v>
      </c>
      <c r="D1079">
        <v>2437998</v>
      </c>
      <c r="E1079">
        <v>2.4379979999999999</v>
      </c>
      <c r="F1079">
        <v>2457</v>
      </c>
      <c r="G1079">
        <v>93769.2</v>
      </c>
      <c r="H1079">
        <v>373861</v>
      </c>
    </row>
    <row r="1080" spans="1:8" x14ac:dyDescent="0.25">
      <c r="A1080" t="s">
        <v>1334</v>
      </c>
      <c r="B1080" t="s">
        <v>1594</v>
      </c>
      <c r="C1080">
        <v>40</v>
      </c>
      <c r="D1080">
        <v>2806199</v>
      </c>
      <c r="E1080">
        <v>2.8061989999999999</v>
      </c>
      <c r="F1080">
        <v>4841</v>
      </c>
      <c r="G1080">
        <v>70155</v>
      </c>
      <c r="H1080">
        <v>322469</v>
      </c>
    </row>
    <row r="1081" spans="1:8" x14ac:dyDescent="0.25">
      <c r="A1081" t="s">
        <v>1335</v>
      </c>
      <c r="B1081" t="s">
        <v>1594</v>
      </c>
      <c r="C1081">
        <v>119</v>
      </c>
      <c r="D1081">
        <v>2139944</v>
      </c>
      <c r="E1081">
        <v>2.1399439999999998</v>
      </c>
      <c r="F1081">
        <v>2061</v>
      </c>
      <c r="G1081">
        <v>17982.7</v>
      </c>
      <c r="H1081">
        <v>205860</v>
      </c>
    </row>
    <row r="1082" spans="1:8" x14ac:dyDescent="0.25">
      <c r="A1082" t="s">
        <v>1336</v>
      </c>
      <c r="B1082" t="s">
        <v>1594</v>
      </c>
      <c r="C1082">
        <v>5</v>
      </c>
      <c r="D1082">
        <v>3652189</v>
      </c>
      <c r="E1082">
        <v>3.6521889999999999</v>
      </c>
      <c r="F1082">
        <v>11750</v>
      </c>
      <c r="G1082">
        <v>730437.8</v>
      </c>
      <c r="H1082">
        <v>1621421</v>
      </c>
    </row>
    <row r="1083" spans="1:8" x14ac:dyDescent="0.25">
      <c r="A1083" t="s">
        <v>1337</v>
      </c>
      <c r="B1083" t="s">
        <v>1594</v>
      </c>
      <c r="C1083">
        <v>19</v>
      </c>
      <c r="D1083">
        <v>2427008</v>
      </c>
      <c r="E1083">
        <v>2.4270079999999998</v>
      </c>
      <c r="F1083">
        <v>10944</v>
      </c>
      <c r="G1083">
        <v>127737.3</v>
      </c>
      <c r="H1083">
        <v>477488</v>
      </c>
    </row>
    <row r="1084" spans="1:8" x14ac:dyDescent="0.25">
      <c r="A1084" t="s">
        <v>1338</v>
      </c>
      <c r="B1084" t="s">
        <v>1594</v>
      </c>
      <c r="C1084">
        <v>3</v>
      </c>
      <c r="D1084">
        <v>4144613</v>
      </c>
      <c r="E1084">
        <v>4.1446129999999997</v>
      </c>
      <c r="F1084">
        <v>17931</v>
      </c>
      <c r="G1084">
        <v>1381537.7</v>
      </c>
      <c r="H1084">
        <v>4104942</v>
      </c>
    </row>
    <row r="1085" spans="1:8" x14ac:dyDescent="0.25">
      <c r="A1085" t="s">
        <v>1339</v>
      </c>
      <c r="B1085" t="s">
        <v>1594</v>
      </c>
      <c r="C1085">
        <v>7</v>
      </c>
      <c r="D1085">
        <v>2829613</v>
      </c>
      <c r="E1085">
        <v>2.8296130000000002</v>
      </c>
      <c r="F1085">
        <v>35588</v>
      </c>
      <c r="G1085">
        <v>404230.40000000002</v>
      </c>
      <c r="H1085">
        <v>930007</v>
      </c>
    </row>
    <row r="1086" spans="1:8" x14ac:dyDescent="0.25">
      <c r="A1086" t="s">
        <v>1340</v>
      </c>
      <c r="B1086" t="s">
        <v>1594</v>
      </c>
      <c r="C1086">
        <v>21</v>
      </c>
      <c r="D1086">
        <v>3028470</v>
      </c>
      <c r="E1086">
        <v>3.02847</v>
      </c>
      <c r="F1086">
        <v>10988</v>
      </c>
      <c r="G1086">
        <v>144212.9</v>
      </c>
      <c r="H1086">
        <v>643553</v>
      </c>
    </row>
    <row r="1087" spans="1:8" x14ac:dyDescent="0.25">
      <c r="A1087" t="s">
        <v>1341</v>
      </c>
      <c r="B1087" t="s">
        <v>1594</v>
      </c>
      <c r="C1087">
        <v>284</v>
      </c>
      <c r="D1087">
        <v>2018114</v>
      </c>
      <c r="E1087">
        <v>2.0181140000000002</v>
      </c>
      <c r="F1087">
        <v>2005</v>
      </c>
      <c r="G1087">
        <v>7106</v>
      </c>
      <c r="H1087">
        <v>86521</v>
      </c>
    </row>
    <row r="1088" spans="1:8" x14ac:dyDescent="0.25">
      <c r="A1088" t="s">
        <v>1342</v>
      </c>
      <c r="B1088" t="s">
        <v>1594</v>
      </c>
      <c r="C1088">
        <v>25</v>
      </c>
      <c r="D1088">
        <v>2173036</v>
      </c>
      <c r="E1088">
        <v>2.1730360000000002</v>
      </c>
      <c r="F1088">
        <v>5568</v>
      </c>
      <c r="G1088">
        <v>86921.4</v>
      </c>
      <c r="H1088">
        <v>278161</v>
      </c>
    </row>
    <row r="1089" spans="1:8" x14ac:dyDescent="0.25">
      <c r="A1089" t="s">
        <v>1343</v>
      </c>
      <c r="B1089" t="s">
        <v>1594</v>
      </c>
      <c r="C1089">
        <v>2</v>
      </c>
      <c r="D1089">
        <v>3193599</v>
      </c>
      <c r="E1089">
        <v>3.1935989999999999</v>
      </c>
      <c r="F1089">
        <v>5239</v>
      </c>
      <c r="G1089">
        <v>1596799.5</v>
      </c>
      <c r="H1089">
        <v>3188360</v>
      </c>
    </row>
    <row r="1090" spans="1:8" x14ac:dyDescent="0.25">
      <c r="A1090" t="s">
        <v>1344</v>
      </c>
      <c r="B1090" t="s">
        <v>1594</v>
      </c>
      <c r="C1090">
        <v>1</v>
      </c>
      <c r="D1090">
        <v>3023047</v>
      </c>
      <c r="E1090">
        <v>3.023047</v>
      </c>
      <c r="F1090">
        <v>3023047</v>
      </c>
      <c r="G1090">
        <v>3023047</v>
      </c>
      <c r="H1090">
        <v>3023047</v>
      </c>
    </row>
    <row r="1091" spans="1:8" x14ac:dyDescent="0.25">
      <c r="A1091" t="s">
        <v>1345</v>
      </c>
      <c r="B1091" t="s">
        <v>1594</v>
      </c>
      <c r="C1091">
        <v>21</v>
      </c>
      <c r="D1091">
        <v>2656658</v>
      </c>
      <c r="E1091">
        <v>2.6566580000000002</v>
      </c>
      <c r="F1091">
        <v>5467</v>
      </c>
      <c r="G1091">
        <v>126507.5</v>
      </c>
      <c r="H1091">
        <v>663022</v>
      </c>
    </row>
    <row r="1092" spans="1:8" x14ac:dyDescent="0.25">
      <c r="A1092" t="s">
        <v>1346</v>
      </c>
      <c r="B1092" t="s">
        <v>1594</v>
      </c>
      <c r="C1092">
        <v>24</v>
      </c>
      <c r="D1092">
        <v>3011638</v>
      </c>
      <c r="E1092">
        <v>3.011638</v>
      </c>
      <c r="F1092">
        <v>5930</v>
      </c>
      <c r="G1092">
        <v>125484.9</v>
      </c>
      <c r="H1092">
        <v>778689</v>
      </c>
    </row>
    <row r="1093" spans="1:8" x14ac:dyDescent="0.25">
      <c r="A1093" t="s">
        <v>1347</v>
      </c>
      <c r="B1093" t="s">
        <v>1594</v>
      </c>
      <c r="C1093">
        <v>40</v>
      </c>
      <c r="D1093">
        <v>4152043</v>
      </c>
      <c r="E1093">
        <v>4.1520429999999999</v>
      </c>
      <c r="F1093">
        <v>2644</v>
      </c>
      <c r="G1093">
        <v>103801.1</v>
      </c>
      <c r="H1093">
        <v>484223</v>
      </c>
    </row>
    <row r="1094" spans="1:8" x14ac:dyDescent="0.25">
      <c r="A1094" t="s">
        <v>1348</v>
      </c>
      <c r="B1094" t="s">
        <v>1594</v>
      </c>
      <c r="C1094">
        <v>18</v>
      </c>
      <c r="D1094">
        <v>3271915</v>
      </c>
      <c r="E1094">
        <v>3.2719149999999999</v>
      </c>
      <c r="F1094">
        <v>9498</v>
      </c>
      <c r="G1094">
        <v>181773.1</v>
      </c>
      <c r="H1094">
        <v>722024</v>
      </c>
    </row>
    <row r="1095" spans="1:8" x14ac:dyDescent="0.25">
      <c r="A1095" t="s">
        <v>1349</v>
      </c>
      <c r="B1095" t="s">
        <v>1594</v>
      </c>
      <c r="C1095">
        <v>28</v>
      </c>
      <c r="D1095">
        <v>1663908</v>
      </c>
      <c r="E1095">
        <v>1.6639079999999999</v>
      </c>
      <c r="F1095">
        <v>4654</v>
      </c>
      <c r="G1095">
        <v>59425.3</v>
      </c>
      <c r="H1095">
        <v>225225</v>
      </c>
    </row>
    <row r="1096" spans="1:8" x14ac:dyDescent="0.25">
      <c r="A1096" t="s">
        <v>1350</v>
      </c>
      <c r="B1096" t="s">
        <v>1594</v>
      </c>
      <c r="C1096">
        <v>91</v>
      </c>
      <c r="D1096">
        <v>2869157</v>
      </c>
      <c r="E1096">
        <v>2.869157</v>
      </c>
      <c r="F1096">
        <v>2034</v>
      </c>
      <c r="G1096">
        <v>31529.200000000001</v>
      </c>
      <c r="H1096">
        <v>392516</v>
      </c>
    </row>
    <row r="1097" spans="1:8" x14ac:dyDescent="0.25">
      <c r="A1097" t="s">
        <v>1351</v>
      </c>
      <c r="B1097" t="s">
        <v>1594</v>
      </c>
      <c r="C1097">
        <v>70</v>
      </c>
      <c r="D1097">
        <v>2789240</v>
      </c>
      <c r="E1097">
        <v>2.7892399999999999</v>
      </c>
      <c r="F1097">
        <v>2012</v>
      </c>
      <c r="G1097">
        <v>39846.300000000003</v>
      </c>
      <c r="H1097">
        <v>271371</v>
      </c>
    </row>
    <row r="1098" spans="1:8" x14ac:dyDescent="0.25">
      <c r="A1098" t="s">
        <v>1352</v>
      </c>
      <c r="B1098" t="s">
        <v>1594</v>
      </c>
      <c r="C1098">
        <v>76</v>
      </c>
      <c r="D1098">
        <v>2882006</v>
      </c>
      <c r="E1098">
        <v>2.8820060000000001</v>
      </c>
      <c r="F1098">
        <v>2017</v>
      </c>
      <c r="G1098">
        <v>37921.1</v>
      </c>
      <c r="H1098">
        <v>271058</v>
      </c>
    </row>
    <row r="1099" spans="1:8" x14ac:dyDescent="0.25">
      <c r="A1099" t="s">
        <v>1353</v>
      </c>
      <c r="B1099" t="s">
        <v>1594</v>
      </c>
      <c r="C1099">
        <v>44</v>
      </c>
      <c r="D1099">
        <v>3217463</v>
      </c>
      <c r="E1099">
        <v>3.217463</v>
      </c>
      <c r="F1099">
        <v>2021</v>
      </c>
      <c r="G1099">
        <v>73124.2</v>
      </c>
      <c r="H1099">
        <v>556262</v>
      </c>
    </row>
    <row r="1100" spans="1:8" x14ac:dyDescent="0.25">
      <c r="A1100" t="s">
        <v>1354</v>
      </c>
      <c r="B1100" t="s">
        <v>1594</v>
      </c>
      <c r="C1100">
        <v>3</v>
      </c>
      <c r="D1100">
        <v>3138068</v>
      </c>
      <c r="E1100">
        <v>3.1380680000000001</v>
      </c>
      <c r="F1100">
        <v>243296</v>
      </c>
      <c r="G1100">
        <v>1046022.7</v>
      </c>
      <c r="H1100">
        <v>2589918</v>
      </c>
    </row>
    <row r="1101" spans="1:8" x14ac:dyDescent="0.25">
      <c r="A1101" t="s">
        <v>1355</v>
      </c>
      <c r="B1101" t="s">
        <v>1594</v>
      </c>
      <c r="C1101">
        <v>44</v>
      </c>
      <c r="D1101">
        <v>4093356</v>
      </c>
      <c r="E1101">
        <v>4.093356</v>
      </c>
      <c r="F1101">
        <v>2745</v>
      </c>
      <c r="G1101">
        <v>93030.8</v>
      </c>
      <c r="H1101">
        <v>361069</v>
      </c>
    </row>
    <row r="1102" spans="1:8" x14ac:dyDescent="0.25">
      <c r="A1102" t="s">
        <v>1356</v>
      </c>
      <c r="B1102" t="s">
        <v>1594</v>
      </c>
      <c r="C1102">
        <v>2</v>
      </c>
      <c r="D1102">
        <v>4146736</v>
      </c>
      <c r="E1102">
        <v>4.1467359999999998</v>
      </c>
      <c r="F1102">
        <v>1814879</v>
      </c>
      <c r="G1102">
        <v>2073368</v>
      </c>
      <c r="H1102">
        <v>2331857</v>
      </c>
    </row>
    <row r="1103" spans="1:8" x14ac:dyDescent="0.25">
      <c r="A1103" t="s">
        <v>1357</v>
      </c>
      <c r="B1103" t="s">
        <v>1594</v>
      </c>
      <c r="C1103">
        <v>3</v>
      </c>
      <c r="D1103">
        <v>2693489</v>
      </c>
      <c r="E1103">
        <v>2.693489</v>
      </c>
      <c r="F1103">
        <v>7277</v>
      </c>
      <c r="G1103">
        <v>897829.7</v>
      </c>
      <c r="H1103">
        <v>2669672</v>
      </c>
    </row>
    <row r="1104" spans="1:8" x14ac:dyDescent="0.25">
      <c r="A1104" t="s">
        <v>1358</v>
      </c>
      <c r="B1104" t="s">
        <v>1594</v>
      </c>
      <c r="C1104">
        <v>14</v>
      </c>
      <c r="D1104">
        <v>2675753</v>
      </c>
      <c r="E1104">
        <v>2.6757529999999998</v>
      </c>
      <c r="F1104">
        <v>6964</v>
      </c>
      <c r="G1104">
        <v>191125.2</v>
      </c>
      <c r="H1104">
        <v>1006128</v>
      </c>
    </row>
    <row r="1105" spans="1:8" x14ac:dyDescent="0.25">
      <c r="A1105" t="s">
        <v>1359</v>
      </c>
      <c r="B1105" t="s">
        <v>1594</v>
      </c>
      <c r="C1105">
        <v>7</v>
      </c>
      <c r="D1105">
        <v>4247329</v>
      </c>
      <c r="E1105">
        <v>4.2473289999999997</v>
      </c>
      <c r="F1105">
        <v>6751</v>
      </c>
      <c r="G1105">
        <v>606761.30000000005</v>
      </c>
      <c r="H1105">
        <v>1479816</v>
      </c>
    </row>
    <row r="1106" spans="1:8" x14ac:dyDescent="0.25">
      <c r="A1106" t="s">
        <v>1360</v>
      </c>
      <c r="B1106" t="s">
        <v>1594</v>
      </c>
      <c r="C1106">
        <v>56</v>
      </c>
      <c r="D1106">
        <v>3935654</v>
      </c>
      <c r="E1106">
        <v>3.935654</v>
      </c>
      <c r="F1106">
        <v>2920</v>
      </c>
      <c r="G1106">
        <v>70279.5</v>
      </c>
      <c r="H1106">
        <v>506278</v>
      </c>
    </row>
    <row r="1107" spans="1:8" x14ac:dyDescent="0.25">
      <c r="A1107" t="s">
        <v>1361</v>
      </c>
      <c r="B1107" t="s">
        <v>1594</v>
      </c>
      <c r="C1107">
        <v>39</v>
      </c>
      <c r="D1107">
        <v>1500548</v>
      </c>
      <c r="E1107">
        <v>1.500548</v>
      </c>
      <c r="F1107">
        <v>2069</v>
      </c>
      <c r="G1107">
        <v>38475.599999999999</v>
      </c>
      <c r="H1107">
        <v>167778</v>
      </c>
    </row>
    <row r="1108" spans="1:8" x14ac:dyDescent="0.25">
      <c r="A1108" t="s">
        <v>1362</v>
      </c>
      <c r="B1108" t="s">
        <v>1594</v>
      </c>
      <c r="C1108">
        <v>2</v>
      </c>
      <c r="D1108">
        <v>2580152</v>
      </c>
      <c r="E1108">
        <v>2.580152</v>
      </c>
      <c r="F1108">
        <v>490666</v>
      </c>
      <c r="G1108">
        <v>1290076</v>
      </c>
      <c r="H1108">
        <v>2089486</v>
      </c>
    </row>
    <row r="1109" spans="1:8" x14ac:dyDescent="0.25">
      <c r="A1109" t="s">
        <v>1363</v>
      </c>
      <c r="B1109" t="s">
        <v>1594</v>
      </c>
      <c r="C1109">
        <v>34</v>
      </c>
      <c r="D1109">
        <v>1736999</v>
      </c>
      <c r="E1109">
        <v>1.736999</v>
      </c>
      <c r="F1109">
        <v>2159</v>
      </c>
      <c r="G1109">
        <v>51088.2</v>
      </c>
      <c r="H1109">
        <v>324647</v>
      </c>
    </row>
    <row r="1110" spans="1:8" x14ac:dyDescent="0.25">
      <c r="A1110" t="s">
        <v>1364</v>
      </c>
      <c r="B1110" t="s">
        <v>1594</v>
      </c>
      <c r="C1110">
        <v>12</v>
      </c>
      <c r="D1110">
        <v>2102280</v>
      </c>
      <c r="E1110">
        <v>2.1022799999999999</v>
      </c>
      <c r="F1110">
        <v>12196</v>
      </c>
      <c r="G1110">
        <v>175190</v>
      </c>
      <c r="H1110">
        <v>641874</v>
      </c>
    </row>
    <row r="1111" spans="1:8" x14ac:dyDescent="0.25">
      <c r="A1111" t="s">
        <v>1365</v>
      </c>
      <c r="B1111" t="s">
        <v>1594</v>
      </c>
      <c r="C1111">
        <v>2</v>
      </c>
      <c r="D1111">
        <v>2423677</v>
      </c>
      <c r="E1111">
        <v>2.4236770000000001</v>
      </c>
      <c r="F1111">
        <v>780404</v>
      </c>
      <c r="G1111">
        <v>1211838.5</v>
      </c>
      <c r="H1111">
        <v>1643273</v>
      </c>
    </row>
    <row r="1112" spans="1:8" x14ac:dyDescent="0.25">
      <c r="A1112" t="s">
        <v>1366</v>
      </c>
      <c r="B1112" t="s">
        <v>1594</v>
      </c>
      <c r="C1112">
        <v>58</v>
      </c>
      <c r="D1112">
        <v>2549275</v>
      </c>
      <c r="E1112">
        <v>2.5492750000000002</v>
      </c>
      <c r="F1112">
        <v>2403</v>
      </c>
      <c r="G1112">
        <v>43953</v>
      </c>
      <c r="H1112">
        <v>224886</v>
      </c>
    </row>
    <row r="1113" spans="1:8" x14ac:dyDescent="0.25">
      <c r="A1113" t="s">
        <v>1367</v>
      </c>
      <c r="B1113" t="s">
        <v>1594</v>
      </c>
      <c r="C1113">
        <v>32</v>
      </c>
      <c r="D1113">
        <v>1898232</v>
      </c>
      <c r="E1113">
        <v>1.8982319999999999</v>
      </c>
      <c r="F1113">
        <v>4749</v>
      </c>
      <c r="G1113">
        <v>59319.8</v>
      </c>
      <c r="H1113">
        <v>243475</v>
      </c>
    </row>
    <row r="1114" spans="1:8" x14ac:dyDescent="0.25">
      <c r="A1114" t="s">
        <v>1368</v>
      </c>
      <c r="B1114" t="s">
        <v>1594</v>
      </c>
      <c r="C1114">
        <v>22</v>
      </c>
      <c r="D1114">
        <v>1776218</v>
      </c>
      <c r="E1114">
        <v>1.7762180000000001</v>
      </c>
      <c r="F1114">
        <v>3488</v>
      </c>
      <c r="G1114">
        <v>80737.2</v>
      </c>
      <c r="H1114">
        <v>269409</v>
      </c>
    </row>
    <row r="1115" spans="1:8" x14ac:dyDescent="0.25">
      <c r="A1115" t="s">
        <v>1369</v>
      </c>
      <c r="B1115" t="s">
        <v>1594</v>
      </c>
      <c r="C1115">
        <v>13</v>
      </c>
      <c r="D1115">
        <v>1572380</v>
      </c>
      <c r="E1115">
        <v>1.5723800000000001</v>
      </c>
      <c r="F1115">
        <v>3260</v>
      </c>
      <c r="G1115">
        <v>120952.3</v>
      </c>
      <c r="H1115">
        <v>495549</v>
      </c>
    </row>
    <row r="1116" spans="1:8" x14ac:dyDescent="0.25">
      <c r="A1116" t="s">
        <v>1370</v>
      </c>
      <c r="B1116" t="s">
        <v>1594</v>
      </c>
      <c r="C1116">
        <v>34</v>
      </c>
      <c r="D1116">
        <v>2754009</v>
      </c>
      <c r="E1116">
        <v>2.7540089999999999</v>
      </c>
      <c r="F1116">
        <v>2522</v>
      </c>
      <c r="G1116">
        <v>81000.3</v>
      </c>
      <c r="H1116">
        <v>298324</v>
      </c>
    </row>
    <row r="1117" spans="1:8" x14ac:dyDescent="0.25">
      <c r="A1117" t="s">
        <v>1371</v>
      </c>
      <c r="B1117" t="s">
        <v>1594</v>
      </c>
      <c r="C1117">
        <v>4</v>
      </c>
      <c r="D1117">
        <v>2133795</v>
      </c>
      <c r="E1117">
        <v>2.1337950000000001</v>
      </c>
      <c r="F1117">
        <v>147372</v>
      </c>
      <c r="G1117">
        <v>533448.80000000005</v>
      </c>
      <c r="H1117">
        <v>1002149</v>
      </c>
    </row>
    <row r="1118" spans="1:8" x14ac:dyDescent="0.25">
      <c r="A1118" t="s">
        <v>1372</v>
      </c>
      <c r="B1118" t="s">
        <v>1594</v>
      </c>
      <c r="C1118">
        <v>21</v>
      </c>
      <c r="D1118">
        <v>1114040</v>
      </c>
      <c r="E1118">
        <v>1.1140399999999999</v>
      </c>
      <c r="F1118">
        <v>2114</v>
      </c>
      <c r="G1118">
        <v>53049.5</v>
      </c>
      <c r="H1118">
        <v>214524</v>
      </c>
    </row>
    <row r="1119" spans="1:8" x14ac:dyDescent="0.25">
      <c r="A1119" t="s">
        <v>1373</v>
      </c>
      <c r="B1119" t="s">
        <v>1594</v>
      </c>
      <c r="C1119">
        <v>1</v>
      </c>
      <c r="D1119">
        <v>2464926</v>
      </c>
      <c r="E1119">
        <v>2.4649260000000002</v>
      </c>
      <c r="F1119">
        <v>2464926</v>
      </c>
      <c r="G1119">
        <v>2464926</v>
      </c>
      <c r="H1119">
        <v>2464926</v>
      </c>
    </row>
    <row r="1120" spans="1:8" x14ac:dyDescent="0.25">
      <c r="A1120" t="s">
        <v>1374</v>
      </c>
      <c r="B1120" t="s">
        <v>1594</v>
      </c>
      <c r="C1120">
        <v>39</v>
      </c>
      <c r="D1120">
        <v>2804560</v>
      </c>
      <c r="E1120">
        <v>2.8045599999999999</v>
      </c>
      <c r="F1120">
        <v>5450</v>
      </c>
      <c r="G1120">
        <v>71911.8</v>
      </c>
      <c r="H1120">
        <v>242583</v>
      </c>
    </row>
    <row r="1121" spans="1:8" x14ac:dyDescent="0.25">
      <c r="A1121" t="s">
        <v>1375</v>
      </c>
      <c r="B1121" t="s">
        <v>1594</v>
      </c>
      <c r="C1121">
        <v>9</v>
      </c>
      <c r="D1121">
        <v>1466614</v>
      </c>
      <c r="E1121">
        <v>1.4666140000000001</v>
      </c>
      <c r="F1121">
        <v>2924</v>
      </c>
      <c r="G1121">
        <v>162957.1</v>
      </c>
      <c r="H1121">
        <v>334322</v>
      </c>
    </row>
    <row r="1122" spans="1:8" x14ac:dyDescent="0.25">
      <c r="A1122" t="s">
        <v>1376</v>
      </c>
      <c r="B1122" t="s">
        <v>1594</v>
      </c>
      <c r="C1122">
        <v>1</v>
      </c>
      <c r="D1122">
        <v>1510622</v>
      </c>
      <c r="E1122">
        <v>1.5106219999999999</v>
      </c>
      <c r="F1122">
        <v>1510622</v>
      </c>
      <c r="G1122">
        <v>1510622</v>
      </c>
      <c r="H1122">
        <v>1510622</v>
      </c>
    </row>
    <row r="1123" spans="1:8" x14ac:dyDescent="0.25">
      <c r="A1123" t="s">
        <v>1377</v>
      </c>
      <c r="B1123" t="s">
        <v>1594</v>
      </c>
      <c r="C1123">
        <v>14</v>
      </c>
      <c r="D1123">
        <v>1118928</v>
      </c>
      <c r="E1123">
        <v>1.1189279999999999</v>
      </c>
      <c r="F1123">
        <v>9637</v>
      </c>
      <c r="G1123">
        <v>79923.399999999994</v>
      </c>
      <c r="H1123">
        <v>203011</v>
      </c>
    </row>
    <row r="1124" spans="1:8" x14ac:dyDescent="0.25">
      <c r="A1124" t="s">
        <v>1378</v>
      </c>
      <c r="B1124" t="s">
        <v>1594</v>
      </c>
      <c r="C1124">
        <v>16</v>
      </c>
      <c r="D1124">
        <v>1506344</v>
      </c>
      <c r="E1124">
        <v>1.5063439999999999</v>
      </c>
      <c r="F1124">
        <v>7703</v>
      </c>
      <c r="G1124">
        <v>94146.5</v>
      </c>
      <c r="H1124">
        <v>792064</v>
      </c>
    </row>
    <row r="1125" spans="1:8" x14ac:dyDescent="0.25">
      <c r="A1125" t="s">
        <v>1379</v>
      </c>
      <c r="B1125" t="s">
        <v>1594</v>
      </c>
      <c r="C1125">
        <v>13</v>
      </c>
      <c r="D1125">
        <v>2088829</v>
      </c>
      <c r="E1125">
        <v>2.088829</v>
      </c>
      <c r="F1125">
        <v>8130</v>
      </c>
      <c r="G1125">
        <v>160679.20000000001</v>
      </c>
      <c r="H1125">
        <v>848045</v>
      </c>
    </row>
    <row r="1126" spans="1:8" x14ac:dyDescent="0.25">
      <c r="A1126" t="s">
        <v>1380</v>
      </c>
      <c r="B1126" t="s">
        <v>1594</v>
      </c>
      <c r="C1126">
        <v>12</v>
      </c>
      <c r="D1126">
        <v>1967677</v>
      </c>
      <c r="E1126">
        <v>1.9676769999999999</v>
      </c>
      <c r="F1126">
        <v>10903</v>
      </c>
      <c r="G1126">
        <v>163973.1</v>
      </c>
      <c r="H1126">
        <v>776946</v>
      </c>
    </row>
    <row r="1127" spans="1:8" x14ac:dyDescent="0.25">
      <c r="A1127" t="s">
        <v>1381</v>
      </c>
      <c r="B1127" t="s">
        <v>1594</v>
      </c>
      <c r="C1127">
        <v>38</v>
      </c>
      <c r="D1127">
        <v>1732481</v>
      </c>
      <c r="E1127">
        <v>1.7324809999999999</v>
      </c>
      <c r="F1127">
        <v>9081</v>
      </c>
      <c r="G1127">
        <v>45591.6</v>
      </c>
      <c r="H1127">
        <v>161772</v>
      </c>
    </row>
    <row r="1128" spans="1:8" x14ac:dyDescent="0.25">
      <c r="A1128" t="s">
        <v>1382</v>
      </c>
      <c r="B1128" t="s">
        <v>1594</v>
      </c>
      <c r="C1128">
        <v>21</v>
      </c>
      <c r="D1128">
        <v>1478402</v>
      </c>
      <c r="E1128">
        <v>1.478402</v>
      </c>
      <c r="F1128">
        <v>14002</v>
      </c>
      <c r="G1128">
        <v>70400.100000000006</v>
      </c>
      <c r="H1128">
        <v>268271</v>
      </c>
    </row>
    <row r="1129" spans="1:8" x14ac:dyDescent="0.25">
      <c r="A1129" t="s">
        <v>1383</v>
      </c>
      <c r="B1129" t="s">
        <v>1594</v>
      </c>
      <c r="C1129">
        <v>15</v>
      </c>
      <c r="D1129">
        <v>2588886</v>
      </c>
      <c r="E1129">
        <v>2.588886</v>
      </c>
      <c r="F1129">
        <v>17941</v>
      </c>
      <c r="G1129">
        <v>172592.4</v>
      </c>
      <c r="H1129">
        <v>474616</v>
      </c>
    </row>
    <row r="1130" spans="1:8" x14ac:dyDescent="0.25">
      <c r="A1130" t="s">
        <v>1384</v>
      </c>
      <c r="B1130" t="s">
        <v>1594</v>
      </c>
      <c r="C1130">
        <v>39</v>
      </c>
      <c r="D1130">
        <v>1640600</v>
      </c>
      <c r="E1130">
        <v>1.6406000000000001</v>
      </c>
      <c r="F1130">
        <v>2049</v>
      </c>
      <c r="G1130">
        <v>42066.7</v>
      </c>
      <c r="H1130">
        <v>325746</v>
      </c>
    </row>
    <row r="1131" spans="1:8" x14ac:dyDescent="0.25">
      <c r="A1131" t="s">
        <v>1385</v>
      </c>
      <c r="B1131" t="s">
        <v>1594</v>
      </c>
      <c r="C1131">
        <v>11</v>
      </c>
      <c r="D1131">
        <v>3241984</v>
      </c>
      <c r="E1131">
        <v>3.241984</v>
      </c>
      <c r="F1131">
        <v>13779</v>
      </c>
      <c r="G1131">
        <v>294725.8</v>
      </c>
      <c r="H1131">
        <v>1391211</v>
      </c>
    </row>
    <row r="1132" spans="1:8" x14ac:dyDescent="0.25">
      <c r="A1132" t="s">
        <v>1386</v>
      </c>
      <c r="B1132" t="s">
        <v>1594</v>
      </c>
      <c r="C1132">
        <v>15</v>
      </c>
      <c r="D1132">
        <v>2379281</v>
      </c>
      <c r="E1132">
        <v>2.3792810000000002</v>
      </c>
      <c r="F1132">
        <v>2284</v>
      </c>
      <c r="G1132">
        <v>158618.70000000001</v>
      </c>
      <c r="H1132">
        <v>1285227</v>
      </c>
    </row>
    <row r="1133" spans="1:8" x14ac:dyDescent="0.25">
      <c r="A1133" t="s">
        <v>1387</v>
      </c>
      <c r="B1133" t="s">
        <v>1594</v>
      </c>
      <c r="C1133">
        <v>3</v>
      </c>
      <c r="D1133">
        <v>2359192</v>
      </c>
      <c r="E1133">
        <v>2.3591920000000002</v>
      </c>
      <c r="F1133">
        <v>203994</v>
      </c>
      <c r="G1133">
        <v>786397.3</v>
      </c>
      <c r="H1133">
        <v>1919722</v>
      </c>
    </row>
    <row r="1134" spans="1:8" x14ac:dyDescent="0.25">
      <c r="A1134" t="s">
        <v>1388</v>
      </c>
      <c r="B1134" t="s">
        <v>1594</v>
      </c>
      <c r="C1134">
        <v>1</v>
      </c>
      <c r="D1134">
        <v>2226983</v>
      </c>
      <c r="E1134">
        <v>2.2269830000000002</v>
      </c>
      <c r="F1134">
        <v>2226983</v>
      </c>
      <c r="G1134">
        <v>2226983</v>
      </c>
      <c r="H1134">
        <v>2226983</v>
      </c>
    </row>
    <row r="1135" spans="1:8" x14ac:dyDescent="0.25">
      <c r="A1135" t="s">
        <v>1389</v>
      </c>
      <c r="B1135" t="s">
        <v>1594</v>
      </c>
      <c r="C1135">
        <v>21</v>
      </c>
      <c r="D1135">
        <v>2967685</v>
      </c>
      <c r="E1135">
        <v>2.9676849999999999</v>
      </c>
      <c r="F1135">
        <v>2025</v>
      </c>
      <c r="G1135">
        <v>141318.29999999999</v>
      </c>
      <c r="H1135">
        <v>2648676</v>
      </c>
    </row>
    <row r="1136" spans="1:8" x14ac:dyDescent="0.25">
      <c r="A1136" t="s">
        <v>1390</v>
      </c>
      <c r="B1136" t="s">
        <v>1594</v>
      </c>
      <c r="C1136">
        <v>4</v>
      </c>
      <c r="D1136">
        <v>2070994</v>
      </c>
      <c r="E1136">
        <v>2.0709939999999998</v>
      </c>
      <c r="F1136">
        <v>2602</v>
      </c>
      <c r="G1136">
        <v>517748.5</v>
      </c>
      <c r="H1136">
        <v>1095641</v>
      </c>
    </row>
    <row r="1137" spans="1:8" x14ac:dyDescent="0.25">
      <c r="A1137" t="s">
        <v>1391</v>
      </c>
      <c r="B1137" t="s">
        <v>1594</v>
      </c>
      <c r="C1137">
        <v>62</v>
      </c>
      <c r="D1137">
        <v>2517374</v>
      </c>
      <c r="E1137">
        <v>2.5173739999999998</v>
      </c>
      <c r="F1137">
        <v>2041</v>
      </c>
      <c r="G1137">
        <v>40602.800000000003</v>
      </c>
      <c r="H1137">
        <v>445680</v>
      </c>
    </row>
    <row r="1138" spans="1:8" x14ac:dyDescent="0.25">
      <c r="A1138" t="s">
        <v>1392</v>
      </c>
      <c r="B1138" t="s">
        <v>1594</v>
      </c>
      <c r="C1138">
        <v>35</v>
      </c>
      <c r="D1138">
        <v>1661071</v>
      </c>
      <c r="E1138">
        <v>1.661071</v>
      </c>
      <c r="F1138">
        <v>4116</v>
      </c>
      <c r="G1138">
        <v>47459.199999999997</v>
      </c>
      <c r="H1138">
        <v>239506</v>
      </c>
    </row>
    <row r="1139" spans="1:8" x14ac:dyDescent="0.25">
      <c r="A1139" t="s">
        <v>1393</v>
      </c>
      <c r="B1139" t="s">
        <v>1594</v>
      </c>
      <c r="C1139">
        <v>14</v>
      </c>
      <c r="D1139">
        <v>2457246</v>
      </c>
      <c r="E1139">
        <v>2.457246</v>
      </c>
      <c r="F1139">
        <v>19871</v>
      </c>
      <c r="G1139">
        <v>175517.6</v>
      </c>
      <c r="H1139">
        <v>550785</v>
      </c>
    </row>
    <row r="1140" spans="1:8" x14ac:dyDescent="0.25">
      <c r="A1140" t="s">
        <v>1394</v>
      </c>
      <c r="B1140" t="s">
        <v>1594</v>
      </c>
      <c r="C1140">
        <v>5</v>
      </c>
      <c r="D1140">
        <v>1794047</v>
      </c>
      <c r="E1140">
        <v>1.7940469999999999</v>
      </c>
      <c r="F1140">
        <v>134951</v>
      </c>
      <c r="G1140">
        <v>358809.4</v>
      </c>
      <c r="H1140">
        <v>601934</v>
      </c>
    </row>
    <row r="1141" spans="1:8" x14ac:dyDescent="0.25">
      <c r="A1141" t="s">
        <v>1395</v>
      </c>
      <c r="B1141" t="s">
        <v>1594</v>
      </c>
      <c r="C1141">
        <v>31</v>
      </c>
      <c r="D1141">
        <v>1665611</v>
      </c>
      <c r="E1141">
        <v>1.665611</v>
      </c>
      <c r="F1141">
        <v>3354</v>
      </c>
      <c r="G1141">
        <v>53729.4</v>
      </c>
      <c r="H1141">
        <v>323266</v>
      </c>
    </row>
    <row r="1142" spans="1:8" x14ac:dyDescent="0.25">
      <c r="A1142" t="s">
        <v>1396</v>
      </c>
      <c r="B1142" t="s">
        <v>1594</v>
      </c>
      <c r="C1142">
        <v>30</v>
      </c>
      <c r="D1142">
        <v>2037393</v>
      </c>
      <c r="E1142">
        <v>2.0373929999999998</v>
      </c>
      <c r="F1142">
        <v>7941</v>
      </c>
      <c r="G1142">
        <v>67913.100000000006</v>
      </c>
      <c r="H1142">
        <v>307900</v>
      </c>
    </row>
    <row r="1143" spans="1:8" x14ac:dyDescent="0.25">
      <c r="A1143" t="s">
        <v>1397</v>
      </c>
      <c r="B1143" t="s">
        <v>1594</v>
      </c>
      <c r="C1143">
        <v>6</v>
      </c>
      <c r="D1143">
        <v>1678753</v>
      </c>
      <c r="E1143">
        <v>1.6787529999999999</v>
      </c>
      <c r="F1143">
        <v>89316</v>
      </c>
      <c r="G1143">
        <v>279792.2</v>
      </c>
      <c r="H1143">
        <v>639485</v>
      </c>
    </row>
    <row r="1144" spans="1:8" x14ac:dyDescent="0.25">
      <c r="A1144" t="s">
        <v>1398</v>
      </c>
      <c r="B1144" t="s">
        <v>1594</v>
      </c>
      <c r="C1144">
        <v>12</v>
      </c>
      <c r="D1144">
        <v>2606424</v>
      </c>
      <c r="E1144">
        <v>2.6064240000000001</v>
      </c>
      <c r="F1144">
        <v>2169</v>
      </c>
      <c r="G1144">
        <v>217202</v>
      </c>
      <c r="H1144">
        <v>756864</v>
      </c>
    </row>
    <row r="1145" spans="1:8" x14ac:dyDescent="0.25">
      <c r="A1145" t="s">
        <v>1399</v>
      </c>
      <c r="B1145" t="s">
        <v>1594</v>
      </c>
      <c r="C1145">
        <v>6</v>
      </c>
      <c r="D1145">
        <v>1909362</v>
      </c>
      <c r="E1145">
        <v>1.909362</v>
      </c>
      <c r="F1145">
        <v>15673</v>
      </c>
      <c r="G1145">
        <v>318227</v>
      </c>
      <c r="H1145">
        <v>1436417</v>
      </c>
    </row>
    <row r="1146" spans="1:8" x14ac:dyDescent="0.25">
      <c r="A1146" t="s">
        <v>1400</v>
      </c>
      <c r="B1146" t="s">
        <v>1594</v>
      </c>
      <c r="C1146">
        <v>91</v>
      </c>
      <c r="D1146">
        <v>1661201</v>
      </c>
      <c r="E1146">
        <v>1.6612009999999999</v>
      </c>
      <c r="F1146">
        <v>2015</v>
      </c>
      <c r="G1146">
        <v>18255</v>
      </c>
      <c r="H1146">
        <v>240730</v>
      </c>
    </row>
    <row r="1147" spans="1:8" x14ac:dyDescent="0.25">
      <c r="A1147" t="s">
        <v>1401</v>
      </c>
      <c r="B1147" t="s">
        <v>1594</v>
      </c>
      <c r="C1147">
        <v>17</v>
      </c>
      <c r="D1147">
        <v>1750058</v>
      </c>
      <c r="E1147">
        <v>1.7500579999999999</v>
      </c>
      <c r="F1147">
        <v>2941</v>
      </c>
      <c r="G1147">
        <v>102944.6</v>
      </c>
      <c r="H1147">
        <v>387378</v>
      </c>
    </row>
    <row r="1148" spans="1:8" x14ac:dyDescent="0.25">
      <c r="A1148" t="s">
        <v>1402</v>
      </c>
      <c r="B1148" t="s">
        <v>1594</v>
      </c>
      <c r="C1148">
        <v>12</v>
      </c>
      <c r="D1148">
        <v>2563320</v>
      </c>
      <c r="E1148">
        <v>2.56332</v>
      </c>
      <c r="F1148">
        <v>4137</v>
      </c>
      <c r="G1148">
        <v>213610</v>
      </c>
      <c r="H1148">
        <v>1016839</v>
      </c>
    </row>
    <row r="1149" spans="1:8" x14ac:dyDescent="0.25">
      <c r="A1149" t="s">
        <v>1403</v>
      </c>
      <c r="B1149" t="s">
        <v>1594</v>
      </c>
      <c r="C1149">
        <v>4</v>
      </c>
      <c r="D1149">
        <v>2400982</v>
      </c>
      <c r="E1149">
        <v>2.4009819999999999</v>
      </c>
      <c r="F1149">
        <v>178573</v>
      </c>
      <c r="G1149">
        <v>600245.5</v>
      </c>
      <c r="H1149">
        <v>822179</v>
      </c>
    </row>
    <row r="1150" spans="1:8" x14ac:dyDescent="0.25">
      <c r="A1150" t="s">
        <v>1404</v>
      </c>
      <c r="B1150" t="s">
        <v>1594</v>
      </c>
      <c r="C1150">
        <v>17</v>
      </c>
      <c r="D1150">
        <v>1962603</v>
      </c>
      <c r="E1150">
        <v>1.9626030000000001</v>
      </c>
      <c r="F1150">
        <v>3907</v>
      </c>
      <c r="G1150">
        <v>115447.2</v>
      </c>
      <c r="H1150">
        <v>378452</v>
      </c>
    </row>
    <row r="1151" spans="1:8" x14ac:dyDescent="0.25">
      <c r="A1151" t="s">
        <v>1405</v>
      </c>
      <c r="B1151" t="s">
        <v>1594</v>
      </c>
      <c r="C1151">
        <v>11</v>
      </c>
      <c r="D1151">
        <v>2395484</v>
      </c>
      <c r="E1151">
        <v>2.3954840000000002</v>
      </c>
      <c r="F1151">
        <v>19331</v>
      </c>
      <c r="G1151">
        <v>217771.3</v>
      </c>
      <c r="H1151">
        <v>1000269</v>
      </c>
    </row>
    <row r="1152" spans="1:8" x14ac:dyDescent="0.25">
      <c r="A1152" t="s">
        <v>1406</v>
      </c>
      <c r="B1152" t="s">
        <v>1594</v>
      </c>
      <c r="C1152">
        <v>7</v>
      </c>
      <c r="D1152">
        <v>2791997</v>
      </c>
      <c r="E1152">
        <v>2.7919969999999998</v>
      </c>
      <c r="F1152">
        <v>82347</v>
      </c>
      <c r="G1152">
        <v>398856.7</v>
      </c>
      <c r="H1152">
        <v>1710684</v>
      </c>
    </row>
    <row r="1153" spans="1:8" x14ac:dyDescent="0.25">
      <c r="A1153" t="s">
        <v>1407</v>
      </c>
      <c r="B1153" t="s">
        <v>1594</v>
      </c>
      <c r="C1153">
        <v>3</v>
      </c>
      <c r="D1153">
        <v>2558630</v>
      </c>
      <c r="E1153">
        <v>2.55863</v>
      </c>
      <c r="F1153">
        <v>103134</v>
      </c>
      <c r="G1153">
        <v>852876.7</v>
      </c>
      <c r="H1153">
        <v>1383356</v>
      </c>
    </row>
    <row r="1154" spans="1:8" x14ac:dyDescent="0.25">
      <c r="A1154" t="s">
        <v>1408</v>
      </c>
      <c r="B1154" t="s">
        <v>1594</v>
      </c>
      <c r="C1154">
        <v>5</v>
      </c>
      <c r="D1154">
        <v>4630366</v>
      </c>
      <c r="E1154">
        <v>4.6303660000000004</v>
      </c>
      <c r="F1154">
        <v>235581</v>
      </c>
      <c r="G1154">
        <v>926073.2</v>
      </c>
      <c r="H1154">
        <v>2706026</v>
      </c>
    </row>
    <row r="1155" spans="1:8" x14ac:dyDescent="0.25">
      <c r="A1155" t="s">
        <v>1409</v>
      </c>
      <c r="B1155" t="s">
        <v>1594</v>
      </c>
      <c r="C1155">
        <v>119</v>
      </c>
      <c r="D1155">
        <v>4321958</v>
      </c>
      <c r="E1155">
        <v>4.3219580000000004</v>
      </c>
      <c r="F1155">
        <v>2002</v>
      </c>
      <c r="G1155">
        <v>36319</v>
      </c>
      <c r="H1155">
        <v>151143</v>
      </c>
    </row>
    <row r="1156" spans="1:8" x14ac:dyDescent="0.25">
      <c r="A1156" t="s">
        <v>1410</v>
      </c>
      <c r="B1156" t="s">
        <v>1594</v>
      </c>
      <c r="C1156">
        <v>27</v>
      </c>
      <c r="D1156">
        <v>2886043</v>
      </c>
      <c r="E1156">
        <v>2.8860429999999999</v>
      </c>
      <c r="F1156">
        <v>15575</v>
      </c>
      <c r="G1156">
        <v>106890.5</v>
      </c>
      <c r="H1156">
        <v>625660</v>
      </c>
    </row>
    <row r="1157" spans="1:8" x14ac:dyDescent="0.25">
      <c r="A1157" t="s">
        <v>1411</v>
      </c>
      <c r="B1157" t="s">
        <v>1594</v>
      </c>
      <c r="C1157">
        <v>59</v>
      </c>
      <c r="D1157">
        <v>3081834</v>
      </c>
      <c r="E1157">
        <v>3.0818340000000002</v>
      </c>
      <c r="F1157">
        <v>2218</v>
      </c>
      <c r="G1157">
        <v>52234.5</v>
      </c>
      <c r="H1157">
        <v>314281</v>
      </c>
    </row>
    <row r="1158" spans="1:8" x14ac:dyDescent="0.25">
      <c r="A1158" t="s">
        <v>1412</v>
      </c>
      <c r="B1158" t="s">
        <v>1594</v>
      </c>
      <c r="C1158">
        <v>19</v>
      </c>
      <c r="D1158">
        <v>3018470</v>
      </c>
      <c r="E1158">
        <v>3.0184700000000002</v>
      </c>
      <c r="F1158">
        <v>14647</v>
      </c>
      <c r="G1158">
        <v>158866.79999999999</v>
      </c>
      <c r="H1158">
        <v>584656</v>
      </c>
    </row>
    <row r="1159" spans="1:8" x14ac:dyDescent="0.25">
      <c r="A1159" t="s">
        <v>1413</v>
      </c>
      <c r="B1159" t="s">
        <v>1594</v>
      </c>
      <c r="C1159">
        <v>24</v>
      </c>
      <c r="D1159">
        <v>3351793</v>
      </c>
      <c r="E1159">
        <v>3.3517929999999998</v>
      </c>
      <c r="F1159">
        <v>6034</v>
      </c>
      <c r="G1159">
        <v>139658</v>
      </c>
      <c r="H1159">
        <v>705595</v>
      </c>
    </row>
    <row r="1160" spans="1:8" x14ac:dyDescent="0.25">
      <c r="A1160" t="s">
        <v>1414</v>
      </c>
      <c r="B1160" t="s">
        <v>1594</v>
      </c>
      <c r="C1160">
        <v>20</v>
      </c>
      <c r="D1160">
        <v>4562121</v>
      </c>
      <c r="E1160">
        <v>4.5621210000000003</v>
      </c>
      <c r="F1160">
        <v>2644</v>
      </c>
      <c r="G1160">
        <v>228106.1</v>
      </c>
      <c r="H1160">
        <v>1034211</v>
      </c>
    </row>
    <row r="1161" spans="1:8" x14ac:dyDescent="0.25">
      <c r="A1161" t="s">
        <v>1415</v>
      </c>
      <c r="B1161" t="s">
        <v>1594</v>
      </c>
      <c r="C1161">
        <v>15</v>
      </c>
      <c r="D1161">
        <v>4195273</v>
      </c>
      <c r="E1161">
        <v>4.1952730000000003</v>
      </c>
      <c r="F1161">
        <v>2414</v>
      </c>
      <c r="G1161">
        <v>279684.90000000002</v>
      </c>
      <c r="H1161">
        <v>963101</v>
      </c>
    </row>
    <row r="1162" spans="1:8" x14ac:dyDescent="0.25">
      <c r="A1162" t="s">
        <v>1416</v>
      </c>
      <c r="B1162" t="s">
        <v>1594</v>
      </c>
      <c r="C1162">
        <v>4</v>
      </c>
      <c r="D1162">
        <v>3503442</v>
      </c>
      <c r="E1162">
        <v>3.5034420000000002</v>
      </c>
      <c r="F1162">
        <v>177121</v>
      </c>
      <c r="G1162">
        <v>875860.5</v>
      </c>
      <c r="H1162">
        <v>1302957</v>
      </c>
    </row>
    <row r="1163" spans="1:8" x14ac:dyDescent="0.25">
      <c r="A1163" t="s">
        <v>1417</v>
      </c>
      <c r="B1163" t="s">
        <v>1594</v>
      </c>
      <c r="C1163">
        <v>7</v>
      </c>
      <c r="D1163">
        <v>3429630</v>
      </c>
      <c r="E1163">
        <v>3.42963</v>
      </c>
      <c r="F1163">
        <v>6519</v>
      </c>
      <c r="G1163">
        <v>489947.1</v>
      </c>
      <c r="H1163">
        <v>1348245</v>
      </c>
    </row>
    <row r="1164" spans="1:8" x14ac:dyDescent="0.25">
      <c r="A1164" t="s">
        <v>1418</v>
      </c>
      <c r="B1164" t="s">
        <v>1594</v>
      </c>
      <c r="C1164">
        <v>9</v>
      </c>
      <c r="D1164">
        <v>5210914</v>
      </c>
      <c r="E1164">
        <v>5.2109139999999998</v>
      </c>
      <c r="F1164">
        <v>40324</v>
      </c>
      <c r="G1164">
        <v>578990.4</v>
      </c>
      <c r="H1164">
        <v>1540938</v>
      </c>
    </row>
    <row r="1165" spans="1:8" x14ac:dyDescent="0.25">
      <c r="A1165" t="s">
        <v>1419</v>
      </c>
      <c r="B1165" t="s">
        <v>1594</v>
      </c>
      <c r="C1165">
        <v>35</v>
      </c>
      <c r="D1165">
        <v>2964850</v>
      </c>
      <c r="E1165">
        <v>2.9648500000000002</v>
      </c>
      <c r="F1165">
        <v>5524</v>
      </c>
      <c r="G1165">
        <v>84710</v>
      </c>
      <c r="H1165">
        <v>519297</v>
      </c>
    </row>
    <row r="1166" spans="1:8" x14ac:dyDescent="0.25">
      <c r="A1166" t="s">
        <v>1420</v>
      </c>
      <c r="B1166" t="s">
        <v>1594</v>
      </c>
      <c r="C1166">
        <v>19</v>
      </c>
      <c r="D1166">
        <v>3261703</v>
      </c>
      <c r="E1166">
        <v>3.2617029999999998</v>
      </c>
      <c r="F1166">
        <v>4238</v>
      </c>
      <c r="G1166">
        <v>171668.6</v>
      </c>
      <c r="H1166">
        <v>935376</v>
      </c>
    </row>
    <row r="1167" spans="1:8" x14ac:dyDescent="0.25">
      <c r="A1167" t="s">
        <v>1421</v>
      </c>
      <c r="B1167" t="s">
        <v>1594</v>
      </c>
      <c r="C1167">
        <v>42</v>
      </c>
      <c r="D1167">
        <v>3530161</v>
      </c>
      <c r="E1167">
        <v>3.5301610000000001</v>
      </c>
      <c r="F1167">
        <v>2449</v>
      </c>
      <c r="G1167">
        <v>84051.5</v>
      </c>
      <c r="H1167">
        <v>436107</v>
      </c>
    </row>
    <row r="1168" spans="1:8" x14ac:dyDescent="0.25">
      <c r="A1168" t="s">
        <v>1422</v>
      </c>
      <c r="B1168" t="s">
        <v>1594</v>
      </c>
      <c r="C1168">
        <v>69</v>
      </c>
      <c r="D1168">
        <v>3287297</v>
      </c>
      <c r="E1168">
        <v>3.2872970000000001</v>
      </c>
      <c r="F1168">
        <v>5087</v>
      </c>
      <c r="G1168">
        <v>47642</v>
      </c>
      <c r="H1168">
        <v>166261</v>
      </c>
    </row>
    <row r="1169" spans="1:8" x14ac:dyDescent="0.25">
      <c r="A1169" t="s">
        <v>1423</v>
      </c>
      <c r="B1169" t="s">
        <v>1594</v>
      </c>
      <c r="C1169">
        <v>39</v>
      </c>
      <c r="D1169">
        <v>2590263</v>
      </c>
      <c r="E1169">
        <v>2.5902630000000002</v>
      </c>
      <c r="F1169">
        <v>3758</v>
      </c>
      <c r="G1169">
        <v>66417</v>
      </c>
      <c r="H1169">
        <v>160134</v>
      </c>
    </row>
    <row r="1170" spans="1:8" x14ac:dyDescent="0.25">
      <c r="A1170" t="s">
        <v>1424</v>
      </c>
      <c r="B1170" t="s">
        <v>1594</v>
      </c>
      <c r="C1170">
        <v>16</v>
      </c>
      <c r="D1170">
        <v>2793276</v>
      </c>
      <c r="E1170">
        <v>2.7932760000000001</v>
      </c>
      <c r="F1170">
        <v>4102</v>
      </c>
      <c r="G1170">
        <v>174579.8</v>
      </c>
      <c r="H1170">
        <v>647344</v>
      </c>
    </row>
    <row r="1171" spans="1:8" x14ac:dyDescent="0.25">
      <c r="A1171" t="s">
        <v>1425</v>
      </c>
      <c r="B1171" t="s">
        <v>1594</v>
      </c>
      <c r="C1171">
        <v>10</v>
      </c>
      <c r="D1171">
        <v>3003764</v>
      </c>
      <c r="E1171">
        <v>3.0037639999999999</v>
      </c>
      <c r="F1171">
        <v>90266</v>
      </c>
      <c r="G1171">
        <v>300376.40000000002</v>
      </c>
      <c r="H1171">
        <v>645445</v>
      </c>
    </row>
    <row r="1172" spans="1:8" x14ac:dyDescent="0.25">
      <c r="A1172" t="s">
        <v>1426</v>
      </c>
      <c r="B1172" t="s">
        <v>1594</v>
      </c>
      <c r="C1172">
        <v>18</v>
      </c>
      <c r="D1172">
        <v>5557065</v>
      </c>
      <c r="E1172">
        <v>5.5570649999999997</v>
      </c>
      <c r="F1172">
        <v>67907</v>
      </c>
      <c r="G1172">
        <v>308725.8</v>
      </c>
      <c r="H1172">
        <v>935545</v>
      </c>
    </row>
    <row r="1173" spans="1:8" x14ac:dyDescent="0.25">
      <c r="A1173" t="s">
        <v>1427</v>
      </c>
      <c r="B1173" t="s">
        <v>1594</v>
      </c>
      <c r="C1173">
        <v>8</v>
      </c>
      <c r="D1173">
        <v>3412747</v>
      </c>
      <c r="E1173">
        <v>3.412747</v>
      </c>
      <c r="F1173">
        <v>59960</v>
      </c>
      <c r="G1173">
        <v>426593.4</v>
      </c>
      <c r="H1173">
        <v>995148</v>
      </c>
    </row>
    <row r="1174" spans="1:8" x14ac:dyDescent="0.25">
      <c r="A1174" t="s">
        <v>1428</v>
      </c>
      <c r="B1174" t="s">
        <v>1594</v>
      </c>
      <c r="C1174">
        <v>38</v>
      </c>
      <c r="D1174">
        <v>3716138</v>
      </c>
      <c r="E1174">
        <v>3.7161379999999999</v>
      </c>
      <c r="F1174">
        <v>2285</v>
      </c>
      <c r="G1174">
        <v>97793.1</v>
      </c>
      <c r="H1174">
        <v>638059</v>
      </c>
    </row>
    <row r="1175" spans="1:8" x14ac:dyDescent="0.25">
      <c r="A1175" t="s">
        <v>1429</v>
      </c>
      <c r="B1175" t="s">
        <v>1594</v>
      </c>
      <c r="C1175">
        <v>44</v>
      </c>
      <c r="D1175">
        <v>4075310</v>
      </c>
      <c r="E1175">
        <v>4.07531</v>
      </c>
      <c r="F1175">
        <v>2651</v>
      </c>
      <c r="G1175">
        <v>92620.7</v>
      </c>
      <c r="H1175">
        <v>463739</v>
      </c>
    </row>
    <row r="1176" spans="1:8" x14ac:dyDescent="0.25">
      <c r="A1176" t="s">
        <v>1430</v>
      </c>
      <c r="B1176" t="s">
        <v>1594</v>
      </c>
      <c r="C1176">
        <v>7</v>
      </c>
      <c r="D1176">
        <v>5473222</v>
      </c>
      <c r="E1176">
        <v>5.4732219999999998</v>
      </c>
      <c r="F1176">
        <v>22391</v>
      </c>
      <c r="G1176">
        <v>781888.9</v>
      </c>
      <c r="H1176">
        <v>1904184</v>
      </c>
    </row>
    <row r="1177" spans="1:8" x14ac:dyDescent="0.25">
      <c r="A1177" t="s">
        <v>1431</v>
      </c>
      <c r="B1177" t="s">
        <v>1594</v>
      </c>
      <c r="C1177">
        <v>18</v>
      </c>
      <c r="D1177">
        <v>4545062</v>
      </c>
      <c r="E1177">
        <v>4.5450619999999997</v>
      </c>
      <c r="F1177">
        <v>52469</v>
      </c>
      <c r="G1177">
        <v>252503.4</v>
      </c>
      <c r="H1177">
        <v>847162</v>
      </c>
    </row>
    <row r="1178" spans="1:8" x14ac:dyDescent="0.25">
      <c r="A1178" t="s">
        <v>1432</v>
      </c>
      <c r="B1178" t="s">
        <v>1594</v>
      </c>
      <c r="C1178">
        <v>16</v>
      </c>
      <c r="D1178">
        <v>4228445</v>
      </c>
      <c r="E1178">
        <v>4.2284449999999998</v>
      </c>
      <c r="F1178">
        <v>2045</v>
      </c>
      <c r="G1178">
        <v>264277.8</v>
      </c>
      <c r="H1178">
        <v>1371990</v>
      </c>
    </row>
    <row r="1179" spans="1:8" x14ac:dyDescent="0.25">
      <c r="A1179" t="s">
        <v>1433</v>
      </c>
      <c r="B1179" t="s">
        <v>1594</v>
      </c>
      <c r="C1179">
        <v>9</v>
      </c>
      <c r="D1179">
        <v>2458696</v>
      </c>
      <c r="E1179">
        <v>2.4586960000000002</v>
      </c>
      <c r="F1179">
        <v>49688</v>
      </c>
      <c r="G1179">
        <v>273188.40000000002</v>
      </c>
      <c r="H1179">
        <v>736040</v>
      </c>
    </row>
    <row r="1180" spans="1:8" x14ac:dyDescent="0.25">
      <c r="A1180" t="s">
        <v>1434</v>
      </c>
      <c r="B1180" t="s">
        <v>1594</v>
      </c>
      <c r="C1180">
        <v>8</v>
      </c>
      <c r="D1180">
        <v>4411638</v>
      </c>
      <c r="E1180">
        <v>4.4116379999999999</v>
      </c>
      <c r="F1180">
        <v>31943</v>
      </c>
      <c r="G1180">
        <v>551454.80000000005</v>
      </c>
      <c r="H1180">
        <v>2148633</v>
      </c>
    </row>
    <row r="1181" spans="1:8" x14ac:dyDescent="0.25">
      <c r="A1181" t="s">
        <v>1435</v>
      </c>
      <c r="B1181" t="s">
        <v>1594</v>
      </c>
      <c r="C1181">
        <v>41</v>
      </c>
      <c r="D1181">
        <v>3536533</v>
      </c>
      <c r="E1181">
        <v>3.5365329999999999</v>
      </c>
      <c r="F1181">
        <v>5267</v>
      </c>
      <c r="G1181">
        <v>86256.9</v>
      </c>
      <c r="H1181">
        <v>439265</v>
      </c>
    </row>
    <row r="1182" spans="1:8" x14ac:dyDescent="0.25">
      <c r="A1182" t="s">
        <v>1436</v>
      </c>
      <c r="B1182" t="s">
        <v>1594</v>
      </c>
      <c r="C1182">
        <v>30</v>
      </c>
      <c r="D1182">
        <v>3449136</v>
      </c>
      <c r="E1182">
        <v>3.4491360000000002</v>
      </c>
      <c r="F1182">
        <v>5458</v>
      </c>
      <c r="G1182">
        <v>114971.2</v>
      </c>
      <c r="H1182">
        <v>339837</v>
      </c>
    </row>
    <row r="1183" spans="1:8" x14ac:dyDescent="0.25">
      <c r="A1183" t="s">
        <v>1437</v>
      </c>
      <c r="B1183" t="s">
        <v>1594</v>
      </c>
      <c r="C1183">
        <v>19</v>
      </c>
      <c r="D1183">
        <v>4040361</v>
      </c>
      <c r="E1183">
        <v>4.0403609999999999</v>
      </c>
      <c r="F1183">
        <v>7326</v>
      </c>
      <c r="G1183">
        <v>212650.6</v>
      </c>
      <c r="H1183">
        <v>1047119</v>
      </c>
    </row>
    <row r="1184" spans="1:8" x14ac:dyDescent="0.25">
      <c r="A1184" t="s">
        <v>1438</v>
      </c>
      <c r="B1184" t="s">
        <v>1594</v>
      </c>
      <c r="C1184">
        <v>25</v>
      </c>
      <c r="D1184">
        <v>6096567</v>
      </c>
      <c r="E1184">
        <v>6.0965670000000003</v>
      </c>
      <c r="F1184">
        <v>3981</v>
      </c>
      <c r="G1184">
        <v>243862.7</v>
      </c>
      <c r="H1184">
        <v>1344926</v>
      </c>
    </row>
    <row r="1185" spans="1:8" x14ac:dyDescent="0.25">
      <c r="A1185" t="s">
        <v>1439</v>
      </c>
      <c r="B1185" t="s">
        <v>1594</v>
      </c>
      <c r="C1185">
        <v>45</v>
      </c>
      <c r="D1185">
        <v>4950767</v>
      </c>
      <c r="E1185">
        <v>4.9507669999999999</v>
      </c>
      <c r="F1185">
        <v>5147</v>
      </c>
      <c r="G1185">
        <v>110017</v>
      </c>
      <c r="H1185">
        <v>674958</v>
      </c>
    </row>
    <row r="1186" spans="1:8" x14ac:dyDescent="0.25">
      <c r="A1186" t="s">
        <v>1440</v>
      </c>
      <c r="B1186" t="s">
        <v>1594</v>
      </c>
      <c r="C1186">
        <v>31</v>
      </c>
      <c r="D1186">
        <v>5142940</v>
      </c>
      <c r="E1186">
        <v>5.1429400000000003</v>
      </c>
      <c r="F1186">
        <v>3021</v>
      </c>
      <c r="G1186">
        <v>165901.29999999999</v>
      </c>
      <c r="H1186">
        <v>906475</v>
      </c>
    </row>
    <row r="1187" spans="1:8" x14ac:dyDescent="0.25">
      <c r="A1187" t="s">
        <v>1441</v>
      </c>
      <c r="B1187" t="s">
        <v>1594</v>
      </c>
      <c r="C1187">
        <v>139</v>
      </c>
      <c r="D1187">
        <v>2868404</v>
      </c>
      <c r="E1187">
        <v>2.868404</v>
      </c>
      <c r="F1187">
        <v>2012</v>
      </c>
      <c r="G1187">
        <v>20636</v>
      </c>
      <c r="H1187">
        <v>111132</v>
      </c>
    </row>
    <row r="1188" spans="1:8" x14ac:dyDescent="0.25">
      <c r="A1188" t="s">
        <v>1442</v>
      </c>
      <c r="B1188" t="s">
        <v>1594</v>
      </c>
      <c r="C1188">
        <v>61</v>
      </c>
      <c r="D1188">
        <v>3567840</v>
      </c>
      <c r="E1188">
        <v>3.5678399999999999</v>
      </c>
      <c r="F1188">
        <v>5850</v>
      </c>
      <c r="G1188">
        <v>58489.2</v>
      </c>
      <c r="H1188">
        <v>279287</v>
      </c>
    </row>
    <row r="1189" spans="1:8" x14ac:dyDescent="0.25">
      <c r="A1189" t="s">
        <v>1443</v>
      </c>
      <c r="B1189" t="s">
        <v>1594</v>
      </c>
      <c r="C1189">
        <v>162</v>
      </c>
      <c r="D1189">
        <v>5182949</v>
      </c>
      <c r="E1189">
        <v>5.1829489999999998</v>
      </c>
      <c r="F1189">
        <v>2008</v>
      </c>
      <c r="G1189">
        <v>31993.5</v>
      </c>
      <c r="H1189">
        <v>344436</v>
      </c>
    </row>
    <row r="1190" spans="1:8" x14ac:dyDescent="0.25">
      <c r="A1190" t="s">
        <v>1444</v>
      </c>
      <c r="B1190" t="s">
        <v>1594</v>
      </c>
      <c r="C1190">
        <v>12</v>
      </c>
      <c r="D1190">
        <v>3073320</v>
      </c>
      <c r="E1190">
        <v>3.0733199999999998</v>
      </c>
      <c r="F1190">
        <v>9970</v>
      </c>
      <c r="G1190">
        <v>256110</v>
      </c>
      <c r="H1190">
        <v>1084804</v>
      </c>
    </row>
    <row r="1191" spans="1:8" x14ac:dyDescent="0.25">
      <c r="A1191" t="s">
        <v>1445</v>
      </c>
      <c r="B1191" t="s">
        <v>1594</v>
      </c>
      <c r="C1191">
        <v>6</v>
      </c>
      <c r="D1191">
        <v>3210052</v>
      </c>
      <c r="E1191">
        <v>3.2100520000000001</v>
      </c>
      <c r="F1191">
        <v>2138</v>
      </c>
      <c r="G1191">
        <v>535008.69999999995</v>
      </c>
      <c r="H1191">
        <v>1578536</v>
      </c>
    </row>
    <row r="1192" spans="1:8" x14ac:dyDescent="0.25">
      <c r="A1192" t="s">
        <v>1446</v>
      </c>
      <c r="B1192" t="s">
        <v>1594</v>
      </c>
      <c r="C1192">
        <v>30</v>
      </c>
      <c r="D1192">
        <v>2795518</v>
      </c>
      <c r="E1192">
        <v>2.7955179999999999</v>
      </c>
      <c r="F1192">
        <v>6093</v>
      </c>
      <c r="G1192">
        <v>93183.9</v>
      </c>
      <c r="H1192">
        <v>399867</v>
      </c>
    </row>
    <row r="1193" spans="1:8" x14ac:dyDescent="0.25">
      <c r="A1193" t="s">
        <v>1447</v>
      </c>
      <c r="B1193" t="s">
        <v>1594</v>
      </c>
      <c r="C1193">
        <v>74</v>
      </c>
      <c r="D1193">
        <v>3873535</v>
      </c>
      <c r="E1193">
        <v>3.873535</v>
      </c>
      <c r="F1193">
        <v>2248</v>
      </c>
      <c r="G1193">
        <v>52345.1</v>
      </c>
      <c r="H1193">
        <v>386560</v>
      </c>
    </row>
    <row r="1194" spans="1:8" x14ac:dyDescent="0.25">
      <c r="A1194" t="s">
        <v>1448</v>
      </c>
      <c r="B1194" t="s">
        <v>1594</v>
      </c>
      <c r="C1194">
        <v>28</v>
      </c>
      <c r="D1194">
        <v>3209754</v>
      </c>
      <c r="E1194">
        <v>3.2097540000000002</v>
      </c>
      <c r="F1194">
        <v>6313</v>
      </c>
      <c r="G1194">
        <v>114634.1</v>
      </c>
      <c r="H1194">
        <v>847742</v>
      </c>
    </row>
    <row r="1195" spans="1:8" x14ac:dyDescent="0.25">
      <c r="A1195" t="s">
        <v>1449</v>
      </c>
      <c r="B1195" t="s">
        <v>1594</v>
      </c>
      <c r="C1195">
        <v>23</v>
      </c>
      <c r="D1195">
        <v>1891710</v>
      </c>
      <c r="E1195">
        <v>1.89171</v>
      </c>
      <c r="F1195">
        <v>10473</v>
      </c>
      <c r="G1195">
        <v>82248.3</v>
      </c>
      <c r="H1195">
        <v>259019</v>
      </c>
    </row>
    <row r="1196" spans="1:8" x14ac:dyDescent="0.25">
      <c r="A1196" t="s">
        <v>1450</v>
      </c>
      <c r="B1196" t="s">
        <v>1594</v>
      </c>
      <c r="C1196">
        <v>11</v>
      </c>
      <c r="D1196">
        <v>3040085</v>
      </c>
      <c r="E1196">
        <v>3.0400849999999999</v>
      </c>
      <c r="F1196">
        <v>12789</v>
      </c>
      <c r="G1196">
        <v>276371.40000000002</v>
      </c>
      <c r="H1196">
        <v>770724</v>
      </c>
    </row>
    <row r="1197" spans="1:8" x14ac:dyDescent="0.25">
      <c r="A1197" t="s">
        <v>1451</v>
      </c>
      <c r="B1197" t="s">
        <v>1594</v>
      </c>
      <c r="C1197">
        <v>58</v>
      </c>
      <c r="D1197">
        <v>2689615</v>
      </c>
      <c r="E1197">
        <v>2.6896149999999999</v>
      </c>
      <c r="F1197">
        <v>2135</v>
      </c>
      <c r="G1197">
        <v>46372.7</v>
      </c>
      <c r="H1197">
        <v>287885</v>
      </c>
    </row>
    <row r="1198" spans="1:8" x14ac:dyDescent="0.25">
      <c r="A1198" t="s">
        <v>1452</v>
      </c>
      <c r="B1198" t="s">
        <v>1594</v>
      </c>
      <c r="C1198">
        <v>43</v>
      </c>
      <c r="D1198">
        <v>2686911</v>
      </c>
      <c r="E1198">
        <v>2.6869109999999998</v>
      </c>
      <c r="F1198">
        <v>2085</v>
      </c>
      <c r="G1198">
        <v>62486.3</v>
      </c>
      <c r="H1198">
        <v>290145</v>
      </c>
    </row>
    <row r="1199" spans="1:8" x14ac:dyDescent="0.25">
      <c r="A1199" t="s">
        <v>1453</v>
      </c>
      <c r="B1199" t="s">
        <v>1594</v>
      </c>
      <c r="C1199">
        <v>13</v>
      </c>
      <c r="D1199">
        <v>2586050</v>
      </c>
      <c r="E1199">
        <v>2.5860500000000002</v>
      </c>
      <c r="F1199">
        <v>2276</v>
      </c>
      <c r="G1199">
        <v>198926.9</v>
      </c>
      <c r="H1199">
        <v>1142541</v>
      </c>
    </row>
    <row r="1200" spans="1:8" x14ac:dyDescent="0.25">
      <c r="A1200" t="s">
        <v>1454</v>
      </c>
      <c r="B1200" t="s">
        <v>1594</v>
      </c>
      <c r="C1200">
        <v>1</v>
      </c>
      <c r="D1200">
        <v>2365078</v>
      </c>
      <c r="E1200">
        <v>2.365078</v>
      </c>
      <c r="F1200">
        <v>2365078</v>
      </c>
      <c r="G1200">
        <v>2365078</v>
      </c>
      <c r="H1200">
        <v>2365078</v>
      </c>
    </row>
    <row r="1201" spans="1:8" x14ac:dyDescent="0.25">
      <c r="A1201" t="s">
        <v>1455</v>
      </c>
      <c r="B1201" t="s">
        <v>1594</v>
      </c>
      <c r="C1201">
        <v>22</v>
      </c>
      <c r="D1201">
        <v>3319314</v>
      </c>
      <c r="E1201">
        <v>3.3193139999999999</v>
      </c>
      <c r="F1201">
        <v>7653</v>
      </c>
      <c r="G1201">
        <v>150877.9</v>
      </c>
      <c r="H1201">
        <v>958164</v>
      </c>
    </row>
    <row r="1202" spans="1:8" x14ac:dyDescent="0.25">
      <c r="A1202" t="s">
        <v>1456</v>
      </c>
      <c r="B1202" t="s">
        <v>1594</v>
      </c>
      <c r="C1202">
        <v>11</v>
      </c>
      <c r="D1202">
        <v>2981583</v>
      </c>
      <c r="E1202">
        <v>2.9815830000000001</v>
      </c>
      <c r="F1202">
        <v>8885</v>
      </c>
      <c r="G1202">
        <v>271053</v>
      </c>
      <c r="H1202">
        <v>710780</v>
      </c>
    </row>
    <row r="1203" spans="1:8" x14ac:dyDescent="0.25">
      <c r="A1203" t="s">
        <v>1457</v>
      </c>
      <c r="B1203" t="s">
        <v>1594</v>
      </c>
      <c r="C1203">
        <v>7</v>
      </c>
      <c r="D1203">
        <v>2534320</v>
      </c>
      <c r="E1203">
        <v>2.5343200000000001</v>
      </c>
      <c r="F1203">
        <v>2911</v>
      </c>
      <c r="G1203">
        <v>362045.7</v>
      </c>
      <c r="H1203">
        <v>1321486</v>
      </c>
    </row>
    <row r="1204" spans="1:8" x14ac:dyDescent="0.25">
      <c r="A1204" t="s">
        <v>1458</v>
      </c>
      <c r="B1204" t="s">
        <v>1594</v>
      </c>
      <c r="C1204">
        <v>16</v>
      </c>
      <c r="D1204">
        <v>2021789</v>
      </c>
      <c r="E1204">
        <v>2.0217890000000001</v>
      </c>
      <c r="F1204">
        <v>2791</v>
      </c>
      <c r="G1204">
        <v>126361.8</v>
      </c>
      <c r="H1204">
        <v>561003</v>
      </c>
    </row>
    <row r="1205" spans="1:8" x14ac:dyDescent="0.25">
      <c r="A1205" t="s">
        <v>1459</v>
      </c>
      <c r="B1205" t="s">
        <v>1594</v>
      </c>
      <c r="C1205">
        <v>2</v>
      </c>
      <c r="D1205">
        <v>3088658</v>
      </c>
      <c r="E1205">
        <v>3.0886580000000001</v>
      </c>
      <c r="F1205">
        <v>564654</v>
      </c>
      <c r="G1205">
        <v>1544329</v>
      </c>
      <c r="H1205">
        <v>2524004</v>
      </c>
    </row>
    <row r="1206" spans="1:8" x14ac:dyDescent="0.25">
      <c r="A1206" t="s">
        <v>1460</v>
      </c>
      <c r="B1206" t="s">
        <v>1594</v>
      </c>
      <c r="C1206">
        <v>14</v>
      </c>
      <c r="D1206">
        <v>3528078</v>
      </c>
      <c r="E1206">
        <v>3.5280779999999998</v>
      </c>
      <c r="F1206">
        <v>2020</v>
      </c>
      <c r="G1206">
        <v>252005.6</v>
      </c>
      <c r="H1206">
        <v>1451134</v>
      </c>
    </row>
    <row r="1207" spans="1:8" x14ac:dyDescent="0.25">
      <c r="A1207" t="s">
        <v>1461</v>
      </c>
      <c r="B1207" t="s">
        <v>1594</v>
      </c>
      <c r="C1207">
        <v>4</v>
      </c>
      <c r="D1207">
        <v>2870304</v>
      </c>
      <c r="E1207">
        <v>2.870304</v>
      </c>
      <c r="F1207">
        <v>2398</v>
      </c>
      <c r="G1207">
        <v>717576</v>
      </c>
      <c r="H1207">
        <v>1823990</v>
      </c>
    </row>
    <row r="1208" spans="1:8" x14ac:dyDescent="0.25">
      <c r="A1208" t="s">
        <v>1462</v>
      </c>
      <c r="B1208" t="s">
        <v>1594</v>
      </c>
      <c r="C1208">
        <v>38</v>
      </c>
      <c r="D1208">
        <v>2314244</v>
      </c>
      <c r="E1208">
        <v>2.314244</v>
      </c>
      <c r="F1208">
        <v>6490</v>
      </c>
      <c r="G1208">
        <v>60901.2</v>
      </c>
      <c r="H1208">
        <v>351955</v>
      </c>
    </row>
    <row r="1209" spans="1:8" x14ac:dyDescent="0.25">
      <c r="A1209" t="s">
        <v>1463</v>
      </c>
      <c r="B1209" t="s">
        <v>1594</v>
      </c>
      <c r="C1209">
        <v>14</v>
      </c>
      <c r="D1209">
        <v>2096780</v>
      </c>
      <c r="E1209">
        <v>2.0967799999999999</v>
      </c>
      <c r="F1209">
        <v>12432</v>
      </c>
      <c r="G1209">
        <v>149770</v>
      </c>
      <c r="H1209">
        <v>920688</v>
      </c>
    </row>
    <row r="1210" spans="1:8" x14ac:dyDescent="0.25">
      <c r="A1210" t="s">
        <v>1464</v>
      </c>
      <c r="B1210" t="s">
        <v>1594</v>
      </c>
      <c r="C1210">
        <v>10</v>
      </c>
      <c r="D1210">
        <v>3151489</v>
      </c>
      <c r="E1210">
        <v>3.1514890000000002</v>
      </c>
      <c r="F1210">
        <v>5688</v>
      </c>
      <c r="G1210">
        <v>315148.90000000002</v>
      </c>
      <c r="H1210">
        <v>757666</v>
      </c>
    </row>
    <row r="1211" spans="1:8" x14ac:dyDescent="0.25">
      <c r="A1211" t="s">
        <v>1465</v>
      </c>
      <c r="B1211" t="s">
        <v>1594</v>
      </c>
      <c r="C1211">
        <v>332</v>
      </c>
      <c r="D1211">
        <v>2620690</v>
      </c>
      <c r="E1211">
        <v>2.6206900000000002</v>
      </c>
      <c r="F1211">
        <v>2026</v>
      </c>
      <c r="G1211">
        <v>7893.6</v>
      </c>
      <c r="H1211">
        <v>130700</v>
      </c>
    </row>
    <row r="1212" spans="1:8" x14ac:dyDescent="0.25">
      <c r="A1212" t="s">
        <v>1466</v>
      </c>
      <c r="B1212" t="s">
        <v>1594</v>
      </c>
      <c r="C1212">
        <v>10</v>
      </c>
      <c r="D1212">
        <v>2077697</v>
      </c>
      <c r="E1212">
        <v>2.0776970000000001</v>
      </c>
      <c r="F1212">
        <v>9418</v>
      </c>
      <c r="G1212">
        <v>207769.7</v>
      </c>
      <c r="H1212">
        <v>667883</v>
      </c>
    </row>
    <row r="1213" spans="1:8" x14ac:dyDescent="0.25">
      <c r="A1213" t="s">
        <v>1467</v>
      </c>
      <c r="B1213" t="s">
        <v>1594</v>
      </c>
      <c r="C1213">
        <v>14</v>
      </c>
      <c r="D1213">
        <v>3227326</v>
      </c>
      <c r="E1213">
        <v>3.2273260000000001</v>
      </c>
      <c r="F1213">
        <v>23776</v>
      </c>
      <c r="G1213">
        <v>230523.3</v>
      </c>
      <c r="H1213">
        <v>685824</v>
      </c>
    </row>
    <row r="1214" spans="1:8" x14ac:dyDescent="0.25">
      <c r="A1214" t="s">
        <v>590</v>
      </c>
      <c r="B1214" t="s">
        <v>1595</v>
      </c>
      <c r="C1214">
        <v>72</v>
      </c>
      <c r="D1214">
        <v>2047164</v>
      </c>
      <c r="E1214">
        <v>2.047164</v>
      </c>
      <c r="F1214">
        <v>2533</v>
      </c>
      <c r="G1214">
        <v>28432.799999999999</v>
      </c>
      <c r="H1214">
        <v>200473</v>
      </c>
    </row>
    <row r="1215" spans="1:8" x14ac:dyDescent="0.25">
      <c r="A1215" t="s">
        <v>1468</v>
      </c>
      <c r="B1215" t="s">
        <v>1595</v>
      </c>
      <c r="C1215">
        <v>89</v>
      </c>
      <c r="D1215">
        <v>2494879</v>
      </c>
      <c r="E1215">
        <v>2.4948790000000001</v>
      </c>
      <c r="F1215">
        <v>2042</v>
      </c>
      <c r="G1215">
        <v>28032.3</v>
      </c>
      <c r="H1215">
        <v>169956</v>
      </c>
    </row>
    <row r="1216" spans="1:8" x14ac:dyDescent="0.25">
      <c r="A1216" t="s">
        <v>591</v>
      </c>
      <c r="B1216" t="s">
        <v>1596</v>
      </c>
      <c r="C1216">
        <v>8</v>
      </c>
      <c r="D1216">
        <v>1578194</v>
      </c>
      <c r="E1216">
        <v>1.5781940000000001</v>
      </c>
      <c r="F1216">
        <v>45892</v>
      </c>
      <c r="G1216">
        <v>197274.3</v>
      </c>
      <c r="H1216">
        <v>579186</v>
      </c>
    </row>
    <row r="1217" spans="1:8" x14ac:dyDescent="0.25">
      <c r="A1217" t="s">
        <v>592</v>
      </c>
      <c r="B1217" t="s">
        <v>1596</v>
      </c>
      <c r="C1217">
        <v>50</v>
      </c>
      <c r="D1217">
        <v>1585316</v>
      </c>
      <c r="E1217">
        <v>1.5853159999999999</v>
      </c>
      <c r="F1217">
        <v>2341</v>
      </c>
      <c r="G1217">
        <v>31706.3</v>
      </c>
      <c r="H1217">
        <v>186574</v>
      </c>
    </row>
    <row r="1218" spans="1:8" x14ac:dyDescent="0.25">
      <c r="A1218" t="s">
        <v>999</v>
      </c>
      <c r="B1218" t="s">
        <v>1596</v>
      </c>
      <c r="C1218">
        <v>2</v>
      </c>
      <c r="D1218">
        <v>1895659</v>
      </c>
      <c r="E1218">
        <v>1.895659</v>
      </c>
      <c r="F1218">
        <v>663334</v>
      </c>
      <c r="G1218">
        <v>947829.5</v>
      </c>
      <c r="H1218">
        <v>1232325</v>
      </c>
    </row>
    <row r="1219" spans="1:8" x14ac:dyDescent="0.25">
      <c r="A1219" t="s">
        <v>1000</v>
      </c>
      <c r="B1219" t="s">
        <v>1596</v>
      </c>
      <c r="C1219">
        <v>28</v>
      </c>
      <c r="D1219">
        <v>1326311</v>
      </c>
      <c r="E1219">
        <v>1.326311</v>
      </c>
      <c r="F1219">
        <v>2162</v>
      </c>
      <c r="G1219">
        <v>47368.3</v>
      </c>
      <c r="H1219">
        <v>187910</v>
      </c>
    </row>
    <row r="1220" spans="1:8" x14ac:dyDescent="0.25">
      <c r="A1220" t="s">
        <v>1001</v>
      </c>
      <c r="B1220" t="s">
        <v>1596</v>
      </c>
      <c r="C1220">
        <v>24</v>
      </c>
      <c r="D1220">
        <v>920643</v>
      </c>
      <c r="E1220">
        <v>0.92064299999999999</v>
      </c>
      <c r="F1220">
        <v>6057</v>
      </c>
      <c r="G1220">
        <v>38360.1</v>
      </c>
      <c r="H1220">
        <v>126537</v>
      </c>
    </row>
    <row r="1221" spans="1:8" x14ac:dyDescent="0.25">
      <c r="A1221" t="s">
        <v>1469</v>
      </c>
      <c r="B1221" t="s">
        <v>1596</v>
      </c>
      <c r="C1221">
        <v>204</v>
      </c>
      <c r="D1221">
        <v>1656713</v>
      </c>
      <c r="E1221">
        <v>1.6567130000000001</v>
      </c>
      <c r="F1221">
        <v>2010</v>
      </c>
      <c r="G1221">
        <v>8121.1</v>
      </c>
      <c r="H1221">
        <v>138465</v>
      </c>
    </row>
    <row r="1222" spans="1:8" x14ac:dyDescent="0.25">
      <c r="A1222" t="s">
        <v>155</v>
      </c>
      <c r="B1222" t="s">
        <v>1597</v>
      </c>
      <c r="C1222">
        <v>3</v>
      </c>
      <c r="D1222">
        <v>2216098</v>
      </c>
      <c r="E1222">
        <v>2.2160980000000001</v>
      </c>
      <c r="F1222">
        <v>99994</v>
      </c>
      <c r="G1222">
        <v>738699.3</v>
      </c>
      <c r="H1222">
        <v>2003129</v>
      </c>
    </row>
    <row r="1223" spans="1:8" x14ac:dyDescent="0.25">
      <c r="A1223" t="s">
        <v>156</v>
      </c>
      <c r="B1223" t="s">
        <v>1597</v>
      </c>
      <c r="C1223">
        <v>4</v>
      </c>
      <c r="D1223">
        <v>1992556</v>
      </c>
      <c r="E1223">
        <v>1.992556</v>
      </c>
      <c r="F1223">
        <v>3381</v>
      </c>
      <c r="G1223">
        <v>498139</v>
      </c>
      <c r="H1223">
        <v>875945</v>
      </c>
    </row>
    <row r="1224" spans="1:8" x14ac:dyDescent="0.25">
      <c r="A1224" t="s">
        <v>593</v>
      </c>
      <c r="B1224" t="s">
        <v>1597</v>
      </c>
      <c r="C1224">
        <v>17</v>
      </c>
      <c r="D1224">
        <v>1167344</v>
      </c>
      <c r="E1224">
        <v>1.1673439999999999</v>
      </c>
      <c r="F1224">
        <v>9713</v>
      </c>
      <c r="G1224">
        <v>68667.3</v>
      </c>
      <c r="H1224">
        <v>178426</v>
      </c>
    </row>
    <row r="1225" spans="1:8" x14ac:dyDescent="0.25">
      <c r="A1225" t="s">
        <v>594</v>
      </c>
      <c r="B1225" t="s">
        <v>1597</v>
      </c>
      <c r="C1225">
        <v>34</v>
      </c>
      <c r="D1225">
        <v>1460310</v>
      </c>
      <c r="E1225">
        <v>1.46031</v>
      </c>
      <c r="F1225">
        <v>4819</v>
      </c>
      <c r="G1225">
        <v>42950.3</v>
      </c>
      <c r="H1225">
        <v>141023</v>
      </c>
    </row>
    <row r="1226" spans="1:8" x14ac:dyDescent="0.25">
      <c r="A1226" t="s">
        <v>595</v>
      </c>
      <c r="B1226" t="s">
        <v>1597</v>
      </c>
      <c r="C1226">
        <v>24</v>
      </c>
      <c r="D1226">
        <v>2024463</v>
      </c>
      <c r="E1226">
        <v>2.0244629999999999</v>
      </c>
      <c r="F1226">
        <v>6465</v>
      </c>
      <c r="G1226">
        <v>84352.6</v>
      </c>
      <c r="H1226">
        <v>236982</v>
      </c>
    </row>
    <row r="1227" spans="1:8" x14ac:dyDescent="0.25">
      <c r="A1227" t="s">
        <v>596</v>
      </c>
      <c r="B1227" t="s">
        <v>1597</v>
      </c>
      <c r="C1227">
        <v>1</v>
      </c>
      <c r="D1227">
        <v>2001740</v>
      </c>
      <c r="E1227">
        <v>2.0017399999999999</v>
      </c>
      <c r="F1227">
        <v>2001740</v>
      </c>
      <c r="G1227">
        <v>2001740</v>
      </c>
      <c r="H1227">
        <v>2001740</v>
      </c>
    </row>
    <row r="1228" spans="1:8" x14ac:dyDescent="0.25">
      <c r="A1228" t="s">
        <v>597</v>
      </c>
      <c r="B1228" t="s">
        <v>1597</v>
      </c>
      <c r="C1228">
        <v>22</v>
      </c>
      <c r="D1228">
        <v>1098919</v>
      </c>
      <c r="E1228">
        <v>1.098919</v>
      </c>
      <c r="F1228">
        <v>8456</v>
      </c>
      <c r="G1228">
        <v>49950.9</v>
      </c>
      <c r="H1228">
        <v>172617</v>
      </c>
    </row>
    <row r="1229" spans="1:8" x14ac:dyDescent="0.25">
      <c r="A1229" t="s">
        <v>598</v>
      </c>
      <c r="B1229" t="s">
        <v>1597</v>
      </c>
      <c r="C1229">
        <v>25</v>
      </c>
      <c r="D1229">
        <v>1724469</v>
      </c>
      <c r="E1229">
        <v>1.724469</v>
      </c>
      <c r="F1229">
        <v>10923</v>
      </c>
      <c r="G1229">
        <v>68978.8</v>
      </c>
      <c r="H1229">
        <v>259530</v>
      </c>
    </row>
    <row r="1230" spans="1:8" x14ac:dyDescent="0.25">
      <c r="A1230" t="s">
        <v>1470</v>
      </c>
      <c r="B1230" t="s">
        <v>1597</v>
      </c>
      <c r="C1230">
        <v>26</v>
      </c>
      <c r="D1230">
        <v>1458576</v>
      </c>
      <c r="E1230">
        <v>1.4585760000000001</v>
      </c>
      <c r="F1230">
        <v>2056</v>
      </c>
      <c r="G1230">
        <v>56099.1</v>
      </c>
      <c r="H1230">
        <v>352986</v>
      </c>
    </row>
    <row r="1231" spans="1:8" x14ac:dyDescent="0.25">
      <c r="A1231" t="s">
        <v>1471</v>
      </c>
      <c r="B1231" t="s">
        <v>1597</v>
      </c>
      <c r="C1231">
        <v>2</v>
      </c>
      <c r="D1231">
        <v>1937913</v>
      </c>
      <c r="E1231">
        <v>1.937913</v>
      </c>
      <c r="F1231">
        <v>159486</v>
      </c>
      <c r="G1231">
        <v>968956.5</v>
      </c>
      <c r="H1231">
        <v>1778427</v>
      </c>
    </row>
    <row r="1232" spans="1:8" x14ac:dyDescent="0.25">
      <c r="A1232" t="s">
        <v>157</v>
      </c>
      <c r="B1232" t="s">
        <v>1598</v>
      </c>
      <c r="C1232">
        <v>73</v>
      </c>
      <c r="D1232">
        <v>2994005</v>
      </c>
      <c r="E1232">
        <v>2.994005</v>
      </c>
      <c r="F1232">
        <v>2082</v>
      </c>
      <c r="G1232">
        <v>41013.800000000003</v>
      </c>
      <c r="H1232">
        <v>266978</v>
      </c>
    </row>
    <row r="1233" spans="1:8" x14ac:dyDescent="0.25">
      <c r="A1233" t="s">
        <v>158</v>
      </c>
      <c r="B1233" t="s">
        <v>1598</v>
      </c>
      <c r="C1233">
        <v>35</v>
      </c>
      <c r="D1233">
        <v>3678595</v>
      </c>
      <c r="E1233">
        <v>3.6785950000000001</v>
      </c>
      <c r="F1233">
        <v>2521</v>
      </c>
      <c r="G1233">
        <v>105102.7</v>
      </c>
      <c r="H1233">
        <v>320562</v>
      </c>
    </row>
    <row r="1234" spans="1:8" x14ac:dyDescent="0.25">
      <c r="A1234" t="s">
        <v>599</v>
      </c>
      <c r="B1234" t="s">
        <v>1598</v>
      </c>
      <c r="C1234">
        <v>111</v>
      </c>
      <c r="D1234">
        <v>1701602</v>
      </c>
      <c r="E1234">
        <v>1.7016020000000001</v>
      </c>
      <c r="F1234">
        <v>2003</v>
      </c>
      <c r="G1234">
        <v>15329.7</v>
      </c>
      <c r="H1234">
        <v>91930</v>
      </c>
    </row>
    <row r="1235" spans="1:8" x14ac:dyDescent="0.25">
      <c r="A1235" t="s">
        <v>1002</v>
      </c>
      <c r="B1235" t="s">
        <v>1598</v>
      </c>
      <c r="C1235">
        <v>13</v>
      </c>
      <c r="D1235">
        <v>3133173</v>
      </c>
      <c r="E1235">
        <v>3.1331730000000002</v>
      </c>
      <c r="F1235">
        <v>13672</v>
      </c>
      <c r="G1235">
        <v>241013.3</v>
      </c>
      <c r="H1235">
        <v>902621</v>
      </c>
    </row>
    <row r="1236" spans="1:8" x14ac:dyDescent="0.25">
      <c r="A1236" t="s">
        <v>1472</v>
      </c>
      <c r="B1236" t="s">
        <v>1598</v>
      </c>
      <c r="C1236">
        <v>45</v>
      </c>
      <c r="D1236">
        <v>2066086</v>
      </c>
      <c r="E1236">
        <v>2.0660859999999999</v>
      </c>
      <c r="F1236">
        <v>3103</v>
      </c>
      <c r="G1236">
        <v>45913</v>
      </c>
      <c r="H1236">
        <v>357958</v>
      </c>
    </row>
    <row r="1237" spans="1:8" x14ac:dyDescent="0.25">
      <c r="A1237" t="s">
        <v>159</v>
      </c>
      <c r="B1237" t="s">
        <v>1599</v>
      </c>
      <c r="C1237">
        <v>27</v>
      </c>
      <c r="D1237">
        <v>3694700</v>
      </c>
      <c r="E1237">
        <v>3.6947000000000001</v>
      </c>
      <c r="F1237">
        <v>10837</v>
      </c>
      <c r="G1237">
        <v>136840.70000000001</v>
      </c>
      <c r="H1237">
        <v>518217</v>
      </c>
    </row>
    <row r="1238" spans="1:8" x14ac:dyDescent="0.25">
      <c r="A1238" t="s">
        <v>160</v>
      </c>
      <c r="B1238" t="s">
        <v>1599</v>
      </c>
      <c r="C1238">
        <v>49</v>
      </c>
      <c r="D1238">
        <v>4077669</v>
      </c>
      <c r="E1238">
        <v>4.0776690000000002</v>
      </c>
      <c r="F1238">
        <v>3733</v>
      </c>
      <c r="G1238">
        <v>83217.7</v>
      </c>
      <c r="H1238">
        <v>310532</v>
      </c>
    </row>
    <row r="1239" spans="1:8" x14ac:dyDescent="0.25">
      <c r="A1239" t="s">
        <v>161</v>
      </c>
      <c r="B1239" t="s">
        <v>1599</v>
      </c>
      <c r="C1239">
        <v>31</v>
      </c>
      <c r="D1239">
        <v>4871795</v>
      </c>
      <c r="E1239">
        <v>4.8717949999999997</v>
      </c>
      <c r="F1239">
        <v>2482</v>
      </c>
      <c r="G1239">
        <v>157154.70000000001</v>
      </c>
      <c r="H1239">
        <v>855896</v>
      </c>
    </row>
    <row r="1240" spans="1:8" x14ac:dyDescent="0.25">
      <c r="A1240" t="s">
        <v>162</v>
      </c>
      <c r="B1240" t="s">
        <v>1599</v>
      </c>
      <c r="C1240">
        <v>3</v>
      </c>
      <c r="D1240">
        <v>4829707</v>
      </c>
      <c r="E1240">
        <v>4.829707</v>
      </c>
      <c r="F1240">
        <v>342006</v>
      </c>
      <c r="G1240">
        <v>1609902.3</v>
      </c>
      <c r="H1240">
        <v>3788023</v>
      </c>
    </row>
    <row r="1241" spans="1:8" x14ac:dyDescent="0.25">
      <c r="A1241" t="s">
        <v>163</v>
      </c>
      <c r="B1241" t="s">
        <v>1599</v>
      </c>
      <c r="C1241">
        <v>6</v>
      </c>
      <c r="D1241">
        <v>4464580</v>
      </c>
      <c r="E1241">
        <v>4.4645799999999998</v>
      </c>
      <c r="F1241">
        <v>203869</v>
      </c>
      <c r="G1241">
        <v>744096.7</v>
      </c>
      <c r="H1241">
        <v>1666712</v>
      </c>
    </row>
    <row r="1242" spans="1:8" x14ac:dyDescent="0.25">
      <c r="A1242" t="s">
        <v>164</v>
      </c>
      <c r="B1242" t="s">
        <v>1599</v>
      </c>
      <c r="C1242">
        <v>73</v>
      </c>
      <c r="D1242">
        <v>3453020</v>
      </c>
      <c r="E1242">
        <v>3.45302</v>
      </c>
      <c r="F1242">
        <v>2034</v>
      </c>
      <c r="G1242">
        <v>47301.599999999999</v>
      </c>
      <c r="H1242">
        <v>341546</v>
      </c>
    </row>
    <row r="1243" spans="1:8" x14ac:dyDescent="0.25">
      <c r="A1243" t="s">
        <v>165</v>
      </c>
      <c r="B1243" t="s">
        <v>1599</v>
      </c>
      <c r="C1243">
        <v>107</v>
      </c>
      <c r="D1243">
        <v>4201263</v>
      </c>
      <c r="E1243">
        <v>4.201263</v>
      </c>
      <c r="F1243">
        <v>2024</v>
      </c>
      <c r="G1243">
        <v>39264.1</v>
      </c>
      <c r="H1243">
        <v>401026</v>
      </c>
    </row>
    <row r="1244" spans="1:8" x14ac:dyDescent="0.25">
      <c r="A1244" t="s">
        <v>166</v>
      </c>
      <c r="B1244" t="s">
        <v>1599</v>
      </c>
      <c r="C1244">
        <v>53</v>
      </c>
      <c r="D1244">
        <v>2163175</v>
      </c>
      <c r="E1244">
        <v>2.1631749999999998</v>
      </c>
      <c r="F1244">
        <v>3724</v>
      </c>
      <c r="G1244">
        <v>40814.6</v>
      </c>
      <c r="H1244">
        <v>137593</v>
      </c>
    </row>
    <row r="1245" spans="1:8" x14ac:dyDescent="0.25">
      <c r="A1245" t="s">
        <v>167</v>
      </c>
      <c r="B1245" t="s">
        <v>1599</v>
      </c>
      <c r="C1245">
        <v>81</v>
      </c>
      <c r="D1245">
        <v>2853084</v>
      </c>
      <c r="E1245">
        <v>2.853084</v>
      </c>
      <c r="F1245">
        <v>2006</v>
      </c>
      <c r="G1245">
        <v>35223.300000000003</v>
      </c>
      <c r="H1245">
        <v>253737</v>
      </c>
    </row>
    <row r="1246" spans="1:8" x14ac:dyDescent="0.25">
      <c r="A1246" t="s">
        <v>168</v>
      </c>
      <c r="B1246" t="s">
        <v>1599</v>
      </c>
      <c r="C1246">
        <v>29</v>
      </c>
      <c r="D1246">
        <v>3177036</v>
      </c>
      <c r="E1246">
        <v>3.1770360000000002</v>
      </c>
      <c r="F1246">
        <v>21443</v>
      </c>
      <c r="G1246">
        <v>109553</v>
      </c>
      <c r="H1246">
        <v>416574</v>
      </c>
    </row>
    <row r="1247" spans="1:8" x14ac:dyDescent="0.25">
      <c r="A1247" t="s">
        <v>169</v>
      </c>
      <c r="B1247" t="s">
        <v>1599</v>
      </c>
      <c r="C1247">
        <v>16</v>
      </c>
      <c r="D1247">
        <v>2290715</v>
      </c>
      <c r="E1247">
        <v>2.2907150000000001</v>
      </c>
      <c r="F1247">
        <v>7669</v>
      </c>
      <c r="G1247">
        <v>143169.70000000001</v>
      </c>
      <c r="H1247">
        <v>612995</v>
      </c>
    </row>
    <row r="1248" spans="1:8" x14ac:dyDescent="0.25">
      <c r="A1248" t="s">
        <v>170</v>
      </c>
      <c r="B1248" t="s">
        <v>1599</v>
      </c>
      <c r="C1248">
        <v>37</v>
      </c>
      <c r="D1248">
        <v>3830178</v>
      </c>
      <c r="E1248">
        <v>3.8301780000000001</v>
      </c>
      <c r="F1248">
        <v>14402</v>
      </c>
      <c r="G1248">
        <v>103518.3</v>
      </c>
      <c r="H1248">
        <v>350304</v>
      </c>
    </row>
    <row r="1249" spans="1:8" x14ac:dyDescent="0.25">
      <c r="A1249" t="s">
        <v>171</v>
      </c>
      <c r="B1249" t="s">
        <v>1599</v>
      </c>
      <c r="C1249">
        <v>12</v>
      </c>
      <c r="D1249">
        <v>3534274</v>
      </c>
      <c r="E1249">
        <v>3.5342739999999999</v>
      </c>
      <c r="F1249">
        <v>23900</v>
      </c>
      <c r="G1249">
        <v>294522.8</v>
      </c>
      <c r="H1249">
        <v>678567</v>
      </c>
    </row>
    <row r="1250" spans="1:8" x14ac:dyDescent="0.25">
      <c r="A1250" t="s">
        <v>172</v>
      </c>
      <c r="B1250" t="s">
        <v>1599</v>
      </c>
      <c r="C1250">
        <v>36</v>
      </c>
      <c r="D1250">
        <v>3625225</v>
      </c>
      <c r="E1250">
        <v>3.6252249999999999</v>
      </c>
      <c r="F1250">
        <v>2084</v>
      </c>
      <c r="G1250">
        <v>100700.7</v>
      </c>
      <c r="H1250">
        <v>1852595</v>
      </c>
    </row>
    <row r="1251" spans="1:8" x14ac:dyDescent="0.25">
      <c r="A1251" t="s">
        <v>173</v>
      </c>
      <c r="B1251" t="s">
        <v>1599</v>
      </c>
      <c r="C1251">
        <v>2</v>
      </c>
      <c r="D1251">
        <v>3584612</v>
      </c>
      <c r="E1251">
        <v>3.5846119999999999</v>
      </c>
      <c r="F1251">
        <v>333242</v>
      </c>
      <c r="G1251">
        <v>1792306</v>
      </c>
      <c r="H1251">
        <v>3251370</v>
      </c>
    </row>
    <row r="1252" spans="1:8" x14ac:dyDescent="0.25">
      <c r="A1252" t="s">
        <v>174</v>
      </c>
      <c r="B1252" t="s">
        <v>1599</v>
      </c>
      <c r="C1252">
        <v>7</v>
      </c>
      <c r="D1252">
        <v>4024526</v>
      </c>
      <c r="E1252">
        <v>4.0245259999999998</v>
      </c>
      <c r="F1252">
        <v>12788</v>
      </c>
      <c r="G1252">
        <v>574932.30000000005</v>
      </c>
      <c r="H1252">
        <v>1138247</v>
      </c>
    </row>
    <row r="1253" spans="1:8" x14ac:dyDescent="0.25">
      <c r="A1253" t="s">
        <v>175</v>
      </c>
      <c r="B1253" t="s">
        <v>1599</v>
      </c>
      <c r="C1253">
        <v>23</v>
      </c>
      <c r="D1253">
        <v>4547917</v>
      </c>
      <c r="E1253">
        <v>4.547917</v>
      </c>
      <c r="F1253">
        <v>2242</v>
      </c>
      <c r="G1253">
        <v>197735.5</v>
      </c>
      <c r="H1253">
        <v>651683</v>
      </c>
    </row>
    <row r="1254" spans="1:8" x14ac:dyDescent="0.25">
      <c r="A1254" t="s">
        <v>176</v>
      </c>
      <c r="B1254" t="s">
        <v>1599</v>
      </c>
      <c r="C1254">
        <v>22</v>
      </c>
      <c r="D1254">
        <v>3406496</v>
      </c>
      <c r="E1254">
        <v>3.4064960000000002</v>
      </c>
      <c r="F1254">
        <v>7601</v>
      </c>
      <c r="G1254">
        <v>154840.70000000001</v>
      </c>
      <c r="H1254">
        <v>505725</v>
      </c>
    </row>
    <row r="1255" spans="1:8" x14ac:dyDescent="0.25">
      <c r="A1255" t="s">
        <v>177</v>
      </c>
      <c r="B1255" t="s">
        <v>1599</v>
      </c>
      <c r="C1255">
        <v>6</v>
      </c>
      <c r="D1255">
        <v>4632576</v>
      </c>
      <c r="E1255">
        <v>4.6325760000000002</v>
      </c>
      <c r="F1255">
        <v>88566</v>
      </c>
      <c r="G1255">
        <v>772096</v>
      </c>
      <c r="H1255">
        <v>3141087</v>
      </c>
    </row>
    <row r="1256" spans="1:8" x14ac:dyDescent="0.25">
      <c r="A1256" t="s">
        <v>178</v>
      </c>
      <c r="B1256" t="s">
        <v>1599</v>
      </c>
      <c r="C1256">
        <v>3</v>
      </c>
      <c r="D1256">
        <v>2983366</v>
      </c>
      <c r="E1256">
        <v>2.9833660000000002</v>
      </c>
      <c r="F1256">
        <v>766378</v>
      </c>
      <c r="G1256">
        <v>994455.3</v>
      </c>
      <c r="H1256">
        <v>1130596</v>
      </c>
    </row>
    <row r="1257" spans="1:8" x14ac:dyDescent="0.25">
      <c r="A1257" t="s">
        <v>179</v>
      </c>
      <c r="B1257" t="s">
        <v>1599</v>
      </c>
      <c r="C1257">
        <v>49</v>
      </c>
      <c r="D1257">
        <v>2913971</v>
      </c>
      <c r="E1257">
        <v>2.9139710000000001</v>
      </c>
      <c r="F1257">
        <v>2025</v>
      </c>
      <c r="G1257">
        <v>59468.800000000003</v>
      </c>
      <c r="H1257">
        <v>261620</v>
      </c>
    </row>
    <row r="1258" spans="1:8" x14ac:dyDescent="0.25">
      <c r="A1258" t="s">
        <v>180</v>
      </c>
      <c r="B1258" t="s">
        <v>1599</v>
      </c>
      <c r="C1258">
        <v>56</v>
      </c>
      <c r="D1258">
        <v>2507061</v>
      </c>
      <c r="E1258">
        <v>2.5070610000000002</v>
      </c>
      <c r="F1258">
        <v>5460</v>
      </c>
      <c r="G1258">
        <v>44768.9</v>
      </c>
      <c r="H1258">
        <v>135252</v>
      </c>
    </row>
    <row r="1259" spans="1:8" x14ac:dyDescent="0.25">
      <c r="A1259" t="s">
        <v>181</v>
      </c>
      <c r="B1259" t="s">
        <v>1599</v>
      </c>
      <c r="C1259">
        <v>27</v>
      </c>
      <c r="D1259">
        <v>3949064</v>
      </c>
      <c r="E1259">
        <v>3.9490639999999999</v>
      </c>
      <c r="F1259">
        <v>3530</v>
      </c>
      <c r="G1259">
        <v>146261.6</v>
      </c>
      <c r="H1259">
        <v>479221</v>
      </c>
    </row>
    <row r="1260" spans="1:8" x14ac:dyDescent="0.25">
      <c r="A1260" t="s">
        <v>600</v>
      </c>
      <c r="B1260" t="s">
        <v>1599</v>
      </c>
      <c r="C1260">
        <v>209</v>
      </c>
      <c r="D1260">
        <v>2090469</v>
      </c>
      <c r="E1260">
        <v>2.0904690000000001</v>
      </c>
      <c r="F1260">
        <v>2028</v>
      </c>
      <c r="G1260">
        <v>10002.200000000001</v>
      </c>
      <c r="H1260">
        <v>109946</v>
      </c>
    </row>
    <row r="1261" spans="1:8" x14ac:dyDescent="0.25">
      <c r="A1261" t="s">
        <v>601</v>
      </c>
      <c r="B1261" t="s">
        <v>1599</v>
      </c>
      <c r="C1261">
        <v>249</v>
      </c>
      <c r="D1261">
        <v>1392784</v>
      </c>
      <c r="E1261">
        <v>1.392784</v>
      </c>
      <c r="F1261">
        <v>2014</v>
      </c>
      <c r="G1261">
        <v>5593.5</v>
      </c>
      <c r="H1261">
        <v>21454</v>
      </c>
    </row>
    <row r="1262" spans="1:8" x14ac:dyDescent="0.25">
      <c r="A1262" t="s">
        <v>602</v>
      </c>
      <c r="B1262" t="s">
        <v>1599</v>
      </c>
      <c r="C1262">
        <v>308</v>
      </c>
      <c r="D1262">
        <v>1966236</v>
      </c>
      <c r="E1262">
        <v>1.9662360000000001</v>
      </c>
      <c r="F1262">
        <v>2001</v>
      </c>
      <c r="G1262">
        <v>6383.9</v>
      </c>
      <c r="H1262">
        <v>35280</v>
      </c>
    </row>
    <row r="1263" spans="1:8" x14ac:dyDescent="0.25">
      <c r="A1263" t="s">
        <v>1003</v>
      </c>
      <c r="B1263" t="s">
        <v>1599</v>
      </c>
      <c r="C1263">
        <v>23</v>
      </c>
      <c r="D1263">
        <v>3151168</v>
      </c>
      <c r="E1263">
        <v>3.1511680000000002</v>
      </c>
      <c r="F1263">
        <v>19627</v>
      </c>
      <c r="G1263">
        <v>137007.29999999999</v>
      </c>
      <c r="H1263">
        <v>578558</v>
      </c>
    </row>
    <row r="1264" spans="1:8" x14ac:dyDescent="0.25">
      <c r="A1264" t="s">
        <v>1004</v>
      </c>
      <c r="B1264" t="s">
        <v>1599</v>
      </c>
      <c r="C1264">
        <v>29</v>
      </c>
      <c r="D1264">
        <v>1654809</v>
      </c>
      <c r="E1264">
        <v>1.654809</v>
      </c>
      <c r="F1264">
        <v>3470</v>
      </c>
      <c r="G1264">
        <v>57062.400000000001</v>
      </c>
      <c r="H1264">
        <v>175009</v>
      </c>
    </row>
    <row r="1265" spans="1:8" x14ac:dyDescent="0.25">
      <c r="A1265" t="s">
        <v>1005</v>
      </c>
      <c r="B1265" t="s">
        <v>1599</v>
      </c>
      <c r="C1265">
        <v>72</v>
      </c>
      <c r="D1265">
        <v>2510952</v>
      </c>
      <c r="E1265">
        <v>2.5109520000000001</v>
      </c>
      <c r="F1265">
        <v>2059</v>
      </c>
      <c r="G1265">
        <v>34874.300000000003</v>
      </c>
      <c r="H1265">
        <v>281072</v>
      </c>
    </row>
    <row r="1266" spans="1:8" x14ac:dyDescent="0.25">
      <c r="A1266" t="s">
        <v>1006</v>
      </c>
      <c r="B1266" t="s">
        <v>1599</v>
      </c>
      <c r="C1266">
        <v>60</v>
      </c>
      <c r="D1266">
        <v>2533279</v>
      </c>
      <c r="E1266">
        <v>2.5332789999999998</v>
      </c>
      <c r="F1266">
        <v>2523</v>
      </c>
      <c r="G1266">
        <v>42221.3</v>
      </c>
      <c r="H1266">
        <v>187725</v>
      </c>
    </row>
    <row r="1267" spans="1:8" x14ac:dyDescent="0.25">
      <c r="A1267" t="s">
        <v>1007</v>
      </c>
      <c r="B1267" t="s">
        <v>1599</v>
      </c>
      <c r="C1267">
        <v>59</v>
      </c>
      <c r="D1267">
        <v>1759638</v>
      </c>
      <c r="E1267">
        <v>1.759638</v>
      </c>
      <c r="F1267">
        <v>2543</v>
      </c>
      <c r="G1267">
        <v>29824.400000000001</v>
      </c>
      <c r="H1267">
        <v>132787</v>
      </c>
    </row>
    <row r="1268" spans="1:8" x14ac:dyDescent="0.25">
      <c r="A1268" t="s">
        <v>1008</v>
      </c>
      <c r="B1268" t="s">
        <v>1599</v>
      </c>
      <c r="C1268">
        <v>107</v>
      </c>
      <c r="D1268">
        <v>1539826</v>
      </c>
      <c r="E1268">
        <v>1.5398259999999999</v>
      </c>
      <c r="F1268">
        <v>2011</v>
      </c>
      <c r="G1268">
        <v>14390.9</v>
      </c>
      <c r="H1268">
        <v>218111</v>
      </c>
    </row>
    <row r="1269" spans="1:8" x14ac:dyDescent="0.25">
      <c r="A1269" t="s">
        <v>1009</v>
      </c>
      <c r="B1269" t="s">
        <v>1599</v>
      </c>
      <c r="C1269">
        <v>55</v>
      </c>
      <c r="D1269">
        <v>3563321</v>
      </c>
      <c r="E1269">
        <v>3.5633210000000002</v>
      </c>
      <c r="F1269">
        <v>3000</v>
      </c>
      <c r="G1269">
        <v>64787.7</v>
      </c>
      <c r="H1269">
        <v>216517</v>
      </c>
    </row>
    <row r="1270" spans="1:8" x14ac:dyDescent="0.25">
      <c r="A1270" t="s">
        <v>1010</v>
      </c>
      <c r="B1270" t="s">
        <v>1599</v>
      </c>
      <c r="C1270">
        <v>28</v>
      </c>
      <c r="D1270">
        <v>2778548</v>
      </c>
      <c r="E1270">
        <v>2.7785479999999998</v>
      </c>
      <c r="F1270">
        <v>6640</v>
      </c>
      <c r="G1270">
        <v>99233.9</v>
      </c>
      <c r="H1270">
        <v>371176</v>
      </c>
    </row>
    <row r="1271" spans="1:8" x14ac:dyDescent="0.25">
      <c r="A1271" t="s">
        <v>1011</v>
      </c>
      <c r="B1271" t="s">
        <v>1599</v>
      </c>
      <c r="C1271">
        <v>89</v>
      </c>
      <c r="D1271">
        <v>2856858</v>
      </c>
      <c r="E1271">
        <v>2.8568579999999999</v>
      </c>
      <c r="F1271">
        <v>4329</v>
      </c>
      <c r="G1271">
        <v>32099.5</v>
      </c>
      <c r="H1271">
        <v>130106</v>
      </c>
    </row>
    <row r="1272" spans="1:8" x14ac:dyDescent="0.25">
      <c r="A1272" t="s">
        <v>1012</v>
      </c>
      <c r="B1272" t="s">
        <v>1599</v>
      </c>
      <c r="C1272">
        <v>7</v>
      </c>
      <c r="D1272">
        <v>3376304</v>
      </c>
      <c r="E1272">
        <v>3.3763040000000002</v>
      </c>
      <c r="F1272">
        <v>2018</v>
      </c>
      <c r="G1272">
        <v>482329.1</v>
      </c>
      <c r="H1272">
        <v>1166939</v>
      </c>
    </row>
    <row r="1273" spans="1:8" x14ac:dyDescent="0.25">
      <c r="A1273" t="s">
        <v>1013</v>
      </c>
      <c r="B1273" t="s">
        <v>1599</v>
      </c>
      <c r="C1273">
        <v>23</v>
      </c>
      <c r="D1273">
        <v>3414752</v>
      </c>
      <c r="E1273">
        <v>3.414752</v>
      </c>
      <c r="F1273">
        <v>2061</v>
      </c>
      <c r="G1273">
        <v>148467.5</v>
      </c>
      <c r="H1273">
        <v>568013</v>
      </c>
    </row>
    <row r="1274" spans="1:8" x14ac:dyDescent="0.25">
      <c r="A1274" t="s">
        <v>1014</v>
      </c>
      <c r="B1274" t="s">
        <v>1599</v>
      </c>
      <c r="C1274">
        <v>6</v>
      </c>
      <c r="D1274">
        <v>3189569</v>
      </c>
      <c r="E1274">
        <v>3.1895690000000001</v>
      </c>
      <c r="F1274">
        <v>28003</v>
      </c>
      <c r="G1274">
        <v>531594.80000000005</v>
      </c>
      <c r="H1274">
        <v>1124848</v>
      </c>
    </row>
    <row r="1275" spans="1:8" x14ac:dyDescent="0.25">
      <c r="A1275" t="s">
        <v>1015</v>
      </c>
      <c r="B1275" t="s">
        <v>1599</v>
      </c>
      <c r="C1275">
        <v>27</v>
      </c>
      <c r="D1275">
        <v>2493721</v>
      </c>
      <c r="E1275">
        <v>2.4937209999999999</v>
      </c>
      <c r="F1275">
        <v>3753</v>
      </c>
      <c r="G1275">
        <v>92360</v>
      </c>
      <c r="H1275">
        <v>341780</v>
      </c>
    </row>
    <row r="1276" spans="1:8" x14ac:dyDescent="0.25">
      <c r="A1276" t="s">
        <v>1016</v>
      </c>
      <c r="B1276" t="s">
        <v>1599</v>
      </c>
      <c r="C1276">
        <v>18</v>
      </c>
      <c r="D1276">
        <v>2804165</v>
      </c>
      <c r="E1276">
        <v>2.8041649999999998</v>
      </c>
      <c r="F1276">
        <v>9547</v>
      </c>
      <c r="G1276">
        <v>155786.9</v>
      </c>
      <c r="H1276">
        <v>532833</v>
      </c>
    </row>
    <row r="1277" spans="1:8" x14ac:dyDescent="0.25">
      <c r="A1277" t="s">
        <v>1017</v>
      </c>
      <c r="B1277" t="s">
        <v>1599</v>
      </c>
      <c r="C1277">
        <v>79</v>
      </c>
      <c r="D1277">
        <v>3038593</v>
      </c>
      <c r="E1277">
        <v>3.0385930000000001</v>
      </c>
      <c r="F1277">
        <v>5899</v>
      </c>
      <c r="G1277">
        <v>38463.199999999997</v>
      </c>
      <c r="H1277">
        <v>114739</v>
      </c>
    </row>
    <row r="1278" spans="1:8" x14ac:dyDescent="0.25">
      <c r="A1278" t="s">
        <v>1018</v>
      </c>
      <c r="B1278" t="s">
        <v>1599</v>
      </c>
      <c r="C1278">
        <v>90</v>
      </c>
      <c r="D1278">
        <v>2410106</v>
      </c>
      <c r="E1278">
        <v>2.4101059999999999</v>
      </c>
      <c r="F1278">
        <v>4657</v>
      </c>
      <c r="G1278">
        <v>26779</v>
      </c>
      <c r="H1278">
        <v>92693</v>
      </c>
    </row>
    <row r="1279" spans="1:8" x14ac:dyDescent="0.25">
      <c r="A1279" t="s">
        <v>1019</v>
      </c>
      <c r="B1279" t="s">
        <v>1599</v>
      </c>
      <c r="C1279">
        <v>8</v>
      </c>
      <c r="D1279">
        <v>1854867</v>
      </c>
      <c r="E1279">
        <v>1.854867</v>
      </c>
      <c r="F1279">
        <v>128203</v>
      </c>
      <c r="G1279">
        <v>231858.4</v>
      </c>
      <c r="H1279">
        <v>560038</v>
      </c>
    </row>
    <row r="1280" spans="1:8" x14ac:dyDescent="0.25">
      <c r="A1280" t="s">
        <v>1020</v>
      </c>
      <c r="B1280" t="s">
        <v>1599</v>
      </c>
      <c r="C1280">
        <v>39</v>
      </c>
      <c r="D1280">
        <v>1861915</v>
      </c>
      <c r="E1280">
        <v>1.861915</v>
      </c>
      <c r="F1280">
        <v>2589</v>
      </c>
      <c r="G1280">
        <v>47741.4</v>
      </c>
      <c r="H1280">
        <v>220471</v>
      </c>
    </row>
    <row r="1281" spans="1:8" x14ac:dyDescent="0.25">
      <c r="A1281" t="s">
        <v>1021</v>
      </c>
      <c r="B1281" t="s">
        <v>1599</v>
      </c>
      <c r="C1281">
        <v>260</v>
      </c>
      <c r="D1281">
        <v>2413801</v>
      </c>
      <c r="E1281">
        <v>2.4138009999999999</v>
      </c>
      <c r="F1281">
        <v>2002</v>
      </c>
      <c r="G1281">
        <v>9283.9</v>
      </c>
      <c r="H1281">
        <v>150719</v>
      </c>
    </row>
    <row r="1282" spans="1:8" x14ac:dyDescent="0.25">
      <c r="A1282" t="s">
        <v>1022</v>
      </c>
      <c r="B1282" t="s">
        <v>1599</v>
      </c>
      <c r="C1282">
        <v>85</v>
      </c>
      <c r="D1282">
        <v>2057715</v>
      </c>
      <c r="E1282">
        <v>2.057715</v>
      </c>
      <c r="F1282">
        <v>2013</v>
      </c>
      <c r="G1282">
        <v>24208.400000000001</v>
      </c>
      <c r="H1282">
        <v>127517</v>
      </c>
    </row>
    <row r="1283" spans="1:8" x14ac:dyDescent="0.25">
      <c r="A1283" t="s">
        <v>1023</v>
      </c>
      <c r="B1283" t="s">
        <v>1599</v>
      </c>
      <c r="C1283">
        <v>104</v>
      </c>
      <c r="D1283">
        <v>2869989</v>
      </c>
      <c r="E1283">
        <v>2.8699889999999999</v>
      </c>
      <c r="F1283">
        <v>2005</v>
      </c>
      <c r="G1283">
        <v>27596</v>
      </c>
      <c r="H1283">
        <v>204867</v>
      </c>
    </row>
    <row r="1284" spans="1:8" x14ac:dyDescent="0.25">
      <c r="A1284" t="s">
        <v>1024</v>
      </c>
      <c r="B1284" t="s">
        <v>1599</v>
      </c>
      <c r="C1284">
        <v>34</v>
      </c>
      <c r="D1284">
        <v>2108776</v>
      </c>
      <c r="E1284">
        <v>2.1087760000000002</v>
      </c>
      <c r="F1284">
        <v>2008</v>
      </c>
      <c r="G1284">
        <v>62022.8</v>
      </c>
      <c r="H1284">
        <v>411625</v>
      </c>
    </row>
    <row r="1285" spans="1:8" x14ac:dyDescent="0.25">
      <c r="A1285" t="s">
        <v>1025</v>
      </c>
      <c r="B1285" t="s">
        <v>1599</v>
      </c>
      <c r="C1285">
        <v>9</v>
      </c>
      <c r="D1285">
        <v>3867829</v>
      </c>
      <c r="E1285">
        <v>3.867829</v>
      </c>
      <c r="F1285">
        <v>28202</v>
      </c>
      <c r="G1285">
        <v>429758.8</v>
      </c>
      <c r="H1285">
        <v>888781</v>
      </c>
    </row>
    <row r="1286" spans="1:8" x14ac:dyDescent="0.25">
      <c r="A1286" t="s">
        <v>1026</v>
      </c>
      <c r="B1286" t="s">
        <v>1599</v>
      </c>
      <c r="C1286">
        <v>63</v>
      </c>
      <c r="D1286">
        <v>3462006</v>
      </c>
      <c r="E1286">
        <v>3.4620060000000001</v>
      </c>
      <c r="F1286">
        <v>2000</v>
      </c>
      <c r="G1286">
        <v>54952.5</v>
      </c>
      <c r="H1286">
        <v>257330</v>
      </c>
    </row>
    <row r="1287" spans="1:8" x14ac:dyDescent="0.25">
      <c r="A1287" t="s">
        <v>1027</v>
      </c>
      <c r="B1287" t="s">
        <v>1599</v>
      </c>
      <c r="C1287">
        <v>47</v>
      </c>
      <c r="D1287">
        <v>3086618</v>
      </c>
      <c r="E1287">
        <v>3.0866180000000001</v>
      </c>
      <c r="F1287">
        <v>6430</v>
      </c>
      <c r="G1287">
        <v>65672.7</v>
      </c>
      <c r="H1287">
        <v>217072</v>
      </c>
    </row>
    <row r="1288" spans="1:8" x14ac:dyDescent="0.25">
      <c r="A1288" t="s">
        <v>1028</v>
      </c>
      <c r="B1288" t="s">
        <v>1599</v>
      </c>
      <c r="C1288">
        <v>34</v>
      </c>
      <c r="D1288">
        <v>1487254</v>
      </c>
      <c r="E1288">
        <v>1.4872540000000001</v>
      </c>
      <c r="F1288">
        <v>2723</v>
      </c>
      <c r="G1288">
        <v>43742.8</v>
      </c>
      <c r="H1288">
        <v>144731</v>
      </c>
    </row>
    <row r="1289" spans="1:8" x14ac:dyDescent="0.25">
      <c r="A1289" t="s">
        <v>1029</v>
      </c>
      <c r="B1289" t="s">
        <v>1599</v>
      </c>
      <c r="C1289">
        <v>41</v>
      </c>
      <c r="D1289">
        <v>1572717</v>
      </c>
      <c r="E1289">
        <v>1.5727169999999999</v>
      </c>
      <c r="F1289">
        <v>2464</v>
      </c>
      <c r="G1289">
        <v>38359</v>
      </c>
      <c r="H1289">
        <v>299352</v>
      </c>
    </row>
    <row r="1290" spans="1:8" x14ac:dyDescent="0.25">
      <c r="A1290" t="s">
        <v>1030</v>
      </c>
      <c r="B1290" t="s">
        <v>1599</v>
      </c>
      <c r="C1290">
        <v>6</v>
      </c>
      <c r="D1290">
        <v>1142165</v>
      </c>
      <c r="E1290">
        <v>1.1421650000000001</v>
      </c>
      <c r="F1290">
        <v>4197</v>
      </c>
      <c r="G1290">
        <v>190360.8</v>
      </c>
      <c r="H1290">
        <v>548569</v>
      </c>
    </row>
    <row r="1291" spans="1:8" x14ac:dyDescent="0.25">
      <c r="A1291" t="s">
        <v>1473</v>
      </c>
      <c r="B1291" t="s">
        <v>1599</v>
      </c>
      <c r="C1291">
        <v>387</v>
      </c>
      <c r="D1291">
        <v>1614494</v>
      </c>
      <c r="E1291">
        <v>1.6144940000000001</v>
      </c>
      <c r="F1291">
        <v>2005</v>
      </c>
      <c r="G1291">
        <v>4171.8</v>
      </c>
      <c r="H1291">
        <v>34938</v>
      </c>
    </row>
    <row r="1292" spans="1:8" x14ac:dyDescent="0.25">
      <c r="A1292" t="s">
        <v>1474</v>
      </c>
      <c r="B1292" t="s">
        <v>1599</v>
      </c>
      <c r="C1292">
        <v>21</v>
      </c>
      <c r="D1292">
        <v>1926042</v>
      </c>
      <c r="E1292">
        <v>1.926042</v>
      </c>
      <c r="F1292">
        <v>2139</v>
      </c>
      <c r="G1292">
        <v>91716.3</v>
      </c>
      <c r="H1292">
        <v>416356</v>
      </c>
    </row>
    <row r="1293" spans="1:8" x14ac:dyDescent="0.25">
      <c r="A1293" t="s">
        <v>1475</v>
      </c>
      <c r="B1293" t="s">
        <v>1599</v>
      </c>
      <c r="C1293">
        <v>26</v>
      </c>
      <c r="D1293">
        <v>2498012</v>
      </c>
      <c r="E1293">
        <v>2.4980120000000001</v>
      </c>
      <c r="F1293">
        <v>2504</v>
      </c>
      <c r="G1293">
        <v>96077.4</v>
      </c>
      <c r="H1293">
        <v>586352</v>
      </c>
    </row>
    <row r="1294" spans="1:8" x14ac:dyDescent="0.25">
      <c r="A1294" t="s">
        <v>1476</v>
      </c>
      <c r="B1294" t="s">
        <v>1599</v>
      </c>
      <c r="C1294">
        <v>9</v>
      </c>
      <c r="D1294">
        <v>2159801</v>
      </c>
      <c r="E1294">
        <v>2.1598009999999999</v>
      </c>
      <c r="F1294">
        <v>33744</v>
      </c>
      <c r="G1294">
        <v>239977.9</v>
      </c>
      <c r="H1294">
        <v>585836</v>
      </c>
    </row>
    <row r="1295" spans="1:8" x14ac:dyDescent="0.25">
      <c r="A1295" t="s">
        <v>1477</v>
      </c>
      <c r="B1295" t="s">
        <v>1599</v>
      </c>
      <c r="C1295">
        <v>36</v>
      </c>
      <c r="D1295">
        <v>2280067</v>
      </c>
      <c r="E1295">
        <v>2.2800669999999998</v>
      </c>
      <c r="F1295">
        <v>8328</v>
      </c>
      <c r="G1295">
        <v>63335.199999999997</v>
      </c>
      <c r="H1295">
        <v>358025</v>
      </c>
    </row>
    <row r="1296" spans="1:8" x14ac:dyDescent="0.25">
      <c r="A1296" t="s">
        <v>1478</v>
      </c>
      <c r="B1296" t="s">
        <v>1599</v>
      </c>
      <c r="C1296">
        <v>15</v>
      </c>
      <c r="D1296">
        <v>2098403</v>
      </c>
      <c r="E1296">
        <v>2.0984029999999998</v>
      </c>
      <c r="F1296">
        <v>11608</v>
      </c>
      <c r="G1296">
        <v>139893.5</v>
      </c>
      <c r="H1296">
        <v>269734</v>
      </c>
    </row>
    <row r="1297" spans="1:8" x14ac:dyDescent="0.25">
      <c r="A1297" t="s">
        <v>1479</v>
      </c>
      <c r="B1297" t="s">
        <v>1599</v>
      </c>
      <c r="C1297">
        <v>34</v>
      </c>
      <c r="D1297">
        <v>2313801</v>
      </c>
      <c r="E1297">
        <v>2.3138010000000002</v>
      </c>
      <c r="F1297">
        <v>2046</v>
      </c>
      <c r="G1297">
        <v>68053</v>
      </c>
      <c r="H1297">
        <v>282236</v>
      </c>
    </row>
    <row r="1298" spans="1:8" x14ac:dyDescent="0.25">
      <c r="A1298" t="s">
        <v>1480</v>
      </c>
      <c r="B1298" t="s">
        <v>1599</v>
      </c>
      <c r="C1298">
        <v>17</v>
      </c>
      <c r="D1298">
        <v>2024944</v>
      </c>
      <c r="E1298">
        <v>2.0249440000000001</v>
      </c>
      <c r="F1298">
        <v>2209</v>
      </c>
      <c r="G1298">
        <v>119114.4</v>
      </c>
      <c r="H1298">
        <v>432875</v>
      </c>
    </row>
    <row r="1299" spans="1:8" x14ac:dyDescent="0.25">
      <c r="A1299" t="s">
        <v>1481</v>
      </c>
      <c r="B1299" t="s">
        <v>1599</v>
      </c>
      <c r="C1299">
        <v>34</v>
      </c>
      <c r="D1299">
        <v>1818403</v>
      </c>
      <c r="E1299">
        <v>1.818403</v>
      </c>
      <c r="F1299">
        <v>6395</v>
      </c>
      <c r="G1299">
        <v>53482.400000000001</v>
      </c>
      <c r="H1299">
        <v>153207</v>
      </c>
    </row>
    <row r="1300" spans="1:8" x14ac:dyDescent="0.25">
      <c r="A1300" t="s">
        <v>1482</v>
      </c>
      <c r="B1300" t="s">
        <v>1599</v>
      </c>
      <c r="C1300">
        <v>45</v>
      </c>
      <c r="D1300">
        <v>2603400</v>
      </c>
      <c r="E1300">
        <v>2.6034000000000002</v>
      </c>
      <c r="F1300">
        <v>2006</v>
      </c>
      <c r="G1300">
        <v>57853.3</v>
      </c>
      <c r="H1300">
        <v>329016</v>
      </c>
    </row>
    <row r="1301" spans="1:8" x14ac:dyDescent="0.25">
      <c r="A1301" t="s">
        <v>1483</v>
      </c>
      <c r="B1301" t="s">
        <v>1599</v>
      </c>
      <c r="C1301">
        <v>11</v>
      </c>
      <c r="D1301">
        <v>2265589</v>
      </c>
      <c r="E1301">
        <v>2.2655889999999999</v>
      </c>
      <c r="F1301">
        <v>9186</v>
      </c>
      <c r="G1301">
        <v>205962.6</v>
      </c>
      <c r="H1301">
        <v>887436</v>
      </c>
    </row>
    <row r="1302" spans="1:8" x14ac:dyDescent="0.25">
      <c r="A1302" t="s">
        <v>1484</v>
      </c>
      <c r="B1302" t="s">
        <v>1599</v>
      </c>
      <c r="C1302">
        <v>20</v>
      </c>
      <c r="D1302">
        <v>2305198</v>
      </c>
      <c r="E1302">
        <v>2.3051979999999999</v>
      </c>
      <c r="F1302">
        <v>23392</v>
      </c>
      <c r="G1302">
        <v>115259.9</v>
      </c>
      <c r="H1302">
        <v>866236</v>
      </c>
    </row>
    <row r="1303" spans="1:8" x14ac:dyDescent="0.25">
      <c r="A1303" t="s">
        <v>1485</v>
      </c>
      <c r="B1303" t="s">
        <v>1599</v>
      </c>
      <c r="C1303">
        <v>11</v>
      </c>
      <c r="D1303">
        <v>2762026</v>
      </c>
      <c r="E1303">
        <v>2.7620260000000001</v>
      </c>
      <c r="F1303">
        <v>9176</v>
      </c>
      <c r="G1303">
        <v>251093.3</v>
      </c>
      <c r="H1303">
        <v>1116193</v>
      </c>
    </row>
    <row r="1304" spans="1:8" x14ac:dyDescent="0.25">
      <c r="A1304" t="s">
        <v>1486</v>
      </c>
      <c r="B1304" t="s">
        <v>1599</v>
      </c>
      <c r="C1304">
        <v>194</v>
      </c>
      <c r="D1304">
        <v>3589554</v>
      </c>
      <c r="E1304">
        <v>3.5895540000000001</v>
      </c>
      <c r="F1304">
        <v>2013</v>
      </c>
      <c r="G1304">
        <v>18502.900000000001</v>
      </c>
      <c r="H1304">
        <v>262356</v>
      </c>
    </row>
    <row r="1305" spans="1:8" x14ac:dyDescent="0.25">
      <c r="A1305" t="s">
        <v>1487</v>
      </c>
      <c r="B1305" t="s">
        <v>1599</v>
      </c>
      <c r="C1305">
        <v>38</v>
      </c>
      <c r="D1305">
        <v>2465767</v>
      </c>
      <c r="E1305">
        <v>2.465767</v>
      </c>
      <c r="F1305">
        <v>6195</v>
      </c>
      <c r="G1305">
        <v>64888.6</v>
      </c>
      <c r="H1305">
        <v>267144</v>
      </c>
    </row>
    <row r="1306" spans="1:8" x14ac:dyDescent="0.25">
      <c r="A1306" t="s">
        <v>1488</v>
      </c>
      <c r="B1306" t="s">
        <v>1599</v>
      </c>
      <c r="C1306">
        <v>120</v>
      </c>
      <c r="D1306">
        <v>2882070</v>
      </c>
      <c r="E1306">
        <v>2.8820700000000001</v>
      </c>
      <c r="F1306">
        <v>2013</v>
      </c>
      <c r="G1306">
        <v>24017.3</v>
      </c>
      <c r="H1306">
        <v>237106</v>
      </c>
    </row>
    <row r="1307" spans="1:8" x14ac:dyDescent="0.25">
      <c r="A1307" t="s">
        <v>1489</v>
      </c>
      <c r="B1307" t="s">
        <v>1599</v>
      </c>
      <c r="C1307">
        <v>41</v>
      </c>
      <c r="D1307">
        <v>3608344</v>
      </c>
      <c r="E1307">
        <v>3.6083440000000002</v>
      </c>
      <c r="F1307">
        <v>2050</v>
      </c>
      <c r="G1307">
        <v>88008.4</v>
      </c>
      <c r="H1307">
        <v>370904</v>
      </c>
    </row>
    <row r="1308" spans="1:8" x14ac:dyDescent="0.25">
      <c r="A1308" t="s">
        <v>1490</v>
      </c>
      <c r="B1308" t="s">
        <v>1599</v>
      </c>
      <c r="C1308">
        <v>15</v>
      </c>
      <c r="D1308">
        <v>3190593</v>
      </c>
      <c r="E1308">
        <v>3.1905929999999998</v>
      </c>
      <c r="F1308">
        <v>2398</v>
      </c>
      <c r="G1308">
        <v>212706.2</v>
      </c>
      <c r="H1308">
        <v>849610</v>
      </c>
    </row>
    <row r="1309" spans="1:8" x14ac:dyDescent="0.25">
      <c r="A1309" t="s">
        <v>1491</v>
      </c>
      <c r="B1309" t="s">
        <v>1599</v>
      </c>
      <c r="C1309">
        <v>76</v>
      </c>
      <c r="D1309">
        <v>2331163</v>
      </c>
      <c r="E1309">
        <v>2.3311630000000001</v>
      </c>
      <c r="F1309">
        <v>2030</v>
      </c>
      <c r="G1309">
        <v>30673.200000000001</v>
      </c>
      <c r="H1309">
        <v>258593</v>
      </c>
    </row>
    <row r="1310" spans="1:8" x14ac:dyDescent="0.25">
      <c r="A1310" t="s">
        <v>1492</v>
      </c>
      <c r="B1310" t="s">
        <v>1599</v>
      </c>
      <c r="C1310">
        <v>9</v>
      </c>
      <c r="D1310">
        <v>2996745</v>
      </c>
      <c r="E1310">
        <v>2.9967450000000002</v>
      </c>
      <c r="F1310">
        <v>15196</v>
      </c>
      <c r="G1310">
        <v>332971.7</v>
      </c>
      <c r="H1310">
        <v>789097</v>
      </c>
    </row>
    <row r="1311" spans="1:8" x14ac:dyDescent="0.25">
      <c r="A1311" t="s">
        <v>1493</v>
      </c>
      <c r="B1311" t="s">
        <v>1599</v>
      </c>
      <c r="C1311">
        <v>16</v>
      </c>
      <c r="D1311">
        <v>3168669</v>
      </c>
      <c r="E1311">
        <v>3.168669</v>
      </c>
      <c r="F1311">
        <v>5084</v>
      </c>
      <c r="G1311">
        <v>198041.8</v>
      </c>
      <c r="H1311">
        <v>708964</v>
      </c>
    </row>
    <row r="1312" spans="1:8" x14ac:dyDescent="0.25">
      <c r="A1312" t="s">
        <v>1494</v>
      </c>
      <c r="B1312" t="s">
        <v>1599</v>
      </c>
      <c r="C1312">
        <v>15</v>
      </c>
      <c r="D1312">
        <v>2437924</v>
      </c>
      <c r="E1312">
        <v>2.4379240000000002</v>
      </c>
      <c r="F1312">
        <v>22834</v>
      </c>
      <c r="G1312">
        <v>162528.29999999999</v>
      </c>
      <c r="H1312">
        <v>378686</v>
      </c>
    </row>
    <row r="1313" spans="1:8" x14ac:dyDescent="0.25">
      <c r="A1313" t="s">
        <v>1495</v>
      </c>
      <c r="B1313" t="s">
        <v>1599</v>
      </c>
      <c r="C1313">
        <v>66</v>
      </c>
      <c r="D1313">
        <v>2655352</v>
      </c>
      <c r="E1313">
        <v>2.6553520000000002</v>
      </c>
      <c r="F1313">
        <v>2017</v>
      </c>
      <c r="G1313">
        <v>40232.6</v>
      </c>
      <c r="H1313">
        <v>250371</v>
      </c>
    </row>
    <row r="1314" spans="1:8" x14ac:dyDescent="0.25">
      <c r="A1314" t="s">
        <v>1496</v>
      </c>
      <c r="B1314" t="s">
        <v>1599</v>
      </c>
      <c r="C1314">
        <v>77</v>
      </c>
      <c r="D1314">
        <v>1801690</v>
      </c>
      <c r="E1314">
        <v>1.80169</v>
      </c>
      <c r="F1314">
        <v>2003</v>
      </c>
      <c r="G1314">
        <v>23398.6</v>
      </c>
      <c r="H1314">
        <v>143283</v>
      </c>
    </row>
    <row r="1315" spans="1:8" x14ac:dyDescent="0.25">
      <c r="A1315" t="s">
        <v>1497</v>
      </c>
      <c r="B1315" t="s">
        <v>1599</v>
      </c>
      <c r="C1315">
        <v>29</v>
      </c>
      <c r="D1315">
        <v>1372651</v>
      </c>
      <c r="E1315">
        <v>1.3726510000000001</v>
      </c>
      <c r="F1315">
        <v>2591</v>
      </c>
      <c r="G1315">
        <v>47332.800000000003</v>
      </c>
      <c r="H1315">
        <v>319752</v>
      </c>
    </row>
    <row r="1316" spans="1:8" x14ac:dyDescent="0.25">
      <c r="A1316" t="s">
        <v>1498</v>
      </c>
      <c r="B1316" t="s">
        <v>1599</v>
      </c>
      <c r="C1316">
        <v>52</v>
      </c>
      <c r="D1316">
        <v>1640937</v>
      </c>
      <c r="E1316">
        <v>1.6409370000000001</v>
      </c>
      <c r="F1316">
        <v>3736</v>
      </c>
      <c r="G1316">
        <v>31556.5</v>
      </c>
      <c r="H1316">
        <v>86902</v>
      </c>
    </row>
    <row r="1317" spans="1:8" x14ac:dyDescent="0.25">
      <c r="A1317" t="s">
        <v>1499</v>
      </c>
      <c r="B1317" t="s">
        <v>1599</v>
      </c>
      <c r="C1317">
        <v>8</v>
      </c>
      <c r="D1317">
        <v>3897392</v>
      </c>
      <c r="E1317">
        <v>3.897392</v>
      </c>
      <c r="F1317">
        <v>134673</v>
      </c>
      <c r="G1317">
        <v>487174</v>
      </c>
      <c r="H1317">
        <v>837078</v>
      </c>
    </row>
    <row r="1318" spans="1:8" x14ac:dyDescent="0.25">
      <c r="A1318" t="s">
        <v>1500</v>
      </c>
      <c r="B1318" t="s">
        <v>1599</v>
      </c>
      <c r="C1318">
        <v>21</v>
      </c>
      <c r="D1318">
        <v>2450877</v>
      </c>
      <c r="E1318">
        <v>2.4508770000000002</v>
      </c>
      <c r="F1318">
        <v>11359</v>
      </c>
      <c r="G1318">
        <v>116708.4</v>
      </c>
      <c r="H1318">
        <v>385193</v>
      </c>
    </row>
    <row r="1319" spans="1:8" x14ac:dyDescent="0.25">
      <c r="A1319" t="s">
        <v>1501</v>
      </c>
      <c r="B1319" t="s">
        <v>1599</v>
      </c>
      <c r="C1319">
        <v>96</v>
      </c>
      <c r="D1319">
        <v>2840580</v>
      </c>
      <c r="E1319">
        <v>2.8405800000000001</v>
      </c>
      <c r="F1319">
        <v>2062</v>
      </c>
      <c r="G1319">
        <v>29589.4</v>
      </c>
      <c r="H1319">
        <v>176712</v>
      </c>
    </row>
    <row r="1320" spans="1:8" x14ac:dyDescent="0.25">
      <c r="A1320" t="s">
        <v>1502</v>
      </c>
      <c r="B1320" t="s">
        <v>1599</v>
      </c>
      <c r="C1320">
        <v>92</v>
      </c>
      <c r="D1320">
        <v>2141218</v>
      </c>
      <c r="E1320">
        <v>2.1412179999999998</v>
      </c>
      <c r="F1320">
        <v>2023</v>
      </c>
      <c r="G1320">
        <v>23274.1</v>
      </c>
      <c r="H1320">
        <v>135983</v>
      </c>
    </row>
    <row r="1321" spans="1:8" x14ac:dyDescent="0.25">
      <c r="A1321" t="s">
        <v>1503</v>
      </c>
      <c r="B1321" t="s">
        <v>1599</v>
      </c>
      <c r="C1321">
        <v>88</v>
      </c>
      <c r="D1321">
        <v>3167554</v>
      </c>
      <c r="E1321">
        <v>3.167554</v>
      </c>
      <c r="F1321">
        <v>2016</v>
      </c>
      <c r="G1321">
        <v>35994.9</v>
      </c>
      <c r="H1321">
        <v>150158</v>
      </c>
    </row>
    <row r="1322" spans="1:8" x14ac:dyDescent="0.25">
      <c r="A1322" t="s">
        <v>182</v>
      </c>
      <c r="B1322" t="s">
        <v>1600</v>
      </c>
      <c r="C1322">
        <v>381</v>
      </c>
      <c r="D1322">
        <v>1492699</v>
      </c>
      <c r="E1322">
        <v>1.492699</v>
      </c>
      <c r="F1322">
        <v>2002</v>
      </c>
      <c r="G1322">
        <v>3917.8</v>
      </c>
      <c r="H1322">
        <v>36381</v>
      </c>
    </row>
    <row r="1323" spans="1:8" x14ac:dyDescent="0.25">
      <c r="A1323" t="s">
        <v>603</v>
      </c>
      <c r="B1323" t="s">
        <v>1600</v>
      </c>
      <c r="C1323">
        <v>6</v>
      </c>
      <c r="D1323">
        <v>1056722</v>
      </c>
      <c r="E1323">
        <v>1.0567219999999999</v>
      </c>
      <c r="F1323">
        <v>25667</v>
      </c>
      <c r="G1323">
        <v>176120.3</v>
      </c>
      <c r="H1323">
        <v>335887</v>
      </c>
    </row>
    <row r="1324" spans="1:8" x14ac:dyDescent="0.25">
      <c r="A1324" t="s">
        <v>604</v>
      </c>
      <c r="B1324" t="s">
        <v>1600</v>
      </c>
      <c r="C1324">
        <v>14</v>
      </c>
      <c r="D1324">
        <v>1592029</v>
      </c>
      <c r="E1324">
        <v>1.5920289999999999</v>
      </c>
      <c r="F1324">
        <v>2091</v>
      </c>
      <c r="G1324">
        <v>113716.4</v>
      </c>
      <c r="H1324">
        <v>534270</v>
      </c>
    </row>
    <row r="1325" spans="1:8" x14ac:dyDescent="0.25">
      <c r="A1325" t="s">
        <v>605</v>
      </c>
      <c r="B1325" t="s">
        <v>1600</v>
      </c>
      <c r="C1325">
        <v>111</v>
      </c>
      <c r="D1325">
        <v>792729</v>
      </c>
      <c r="E1325">
        <v>0.79272900000000002</v>
      </c>
      <c r="F1325">
        <v>2039</v>
      </c>
      <c r="G1325">
        <v>7141.7</v>
      </c>
      <c r="H1325">
        <v>83817</v>
      </c>
    </row>
    <row r="1326" spans="1:8" x14ac:dyDescent="0.25">
      <c r="A1326" t="s">
        <v>606</v>
      </c>
      <c r="B1326" t="s">
        <v>1600</v>
      </c>
      <c r="C1326">
        <v>15</v>
      </c>
      <c r="D1326">
        <v>1347268</v>
      </c>
      <c r="E1326">
        <v>1.3472679999999999</v>
      </c>
      <c r="F1326">
        <v>2560</v>
      </c>
      <c r="G1326">
        <v>89817.9</v>
      </c>
      <c r="H1326">
        <v>317310</v>
      </c>
    </row>
    <row r="1327" spans="1:8" x14ac:dyDescent="0.25">
      <c r="A1327" t="s">
        <v>1031</v>
      </c>
      <c r="B1327" t="s">
        <v>1600</v>
      </c>
      <c r="C1327">
        <v>64</v>
      </c>
      <c r="D1327">
        <v>2554987</v>
      </c>
      <c r="E1327">
        <v>2.5549870000000001</v>
      </c>
      <c r="F1327">
        <v>2023</v>
      </c>
      <c r="G1327">
        <v>39921.699999999997</v>
      </c>
      <c r="H1327">
        <v>386531</v>
      </c>
    </row>
    <row r="1328" spans="1:8" x14ac:dyDescent="0.25">
      <c r="A1328" t="s">
        <v>1032</v>
      </c>
      <c r="B1328" t="s">
        <v>1600</v>
      </c>
      <c r="C1328">
        <v>30</v>
      </c>
      <c r="D1328">
        <v>1932609</v>
      </c>
      <c r="E1328">
        <v>1.932609</v>
      </c>
      <c r="F1328">
        <v>3652</v>
      </c>
      <c r="G1328">
        <v>64420.3</v>
      </c>
      <c r="H1328">
        <v>419107</v>
      </c>
    </row>
    <row r="1329" spans="1:8" x14ac:dyDescent="0.25">
      <c r="A1329" t="s">
        <v>1033</v>
      </c>
      <c r="B1329" t="s">
        <v>1600</v>
      </c>
      <c r="C1329">
        <v>9</v>
      </c>
      <c r="D1329">
        <v>1063471</v>
      </c>
      <c r="E1329">
        <v>1.0634710000000001</v>
      </c>
      <c r="F1329">
        <v>34155</v>
      </c>
      <c r="G1329">
        <v>118163.4</v>
      </c>
      <c r="H1329">
        <v>356303</v>
      </c>
    </row>
    <row r="1330" spans="1:8" x14ac:dyDescent="0.25">
      <c r="A1330" t="s">
        <v>1504</v>
      </c>
      <c r="B1330" t="s">
        <v>1600</v>
      </c>
      <c r="C1330">
        <v>3</v>
      </c>
      <c r="D1330">
        <v>1946852</v>
      </c>
      <c r="E1330">
        <v>1.946852</v>
      </c>
      <c r="F1330">
        <v>256960</v>
      </c>
      <c r="G1330">
        <v>648950.69999999995</v>
      </c>
      <c r="H1330">
        <v>1248048</v>
      </c>
    </row>
    <row r="1331" spans="1:8" x14ac:dyDescent="0.25">
      <c r="A1331" t="s">
        <v>1505</v>
      </c>
      <c r="B1331" t="s">
        <v>1600</v>
      </c>
      <c r="C1331">
        <v>1</v>
      </c>
      <c r="D1331">
        <v>2043230</v>
      </c>
      <c r="E1331">
        <v>2.0432299999999999</v>
      </c>
      <c r="F1331">
        <v>2043230</v>
      </c>
      <c r="G1331">
        <v>2043230</v>
      </c>
      <c r="H1331">
        <v>2043230</v>
      </c>
    </row>
    <row r="1332" spans="1:8" x14ac:dyDescent="0.25">
      <c r="A1332" t="s">
        <v>1506</v>
      </c>
      <c r="B1332" t="s">
        <v>1600</v>
      </c>
      <c r="C1332">
        <v>1</v>
      </c>
      <c r="D1332">
        <v>1598499</v>
      </c>
      <c r="E1332">
        <v>1.5984989999999999</v>
      </c>
      <c r="F1332">
        <v>1598499</v>
      </c>
      <c r="G1332">
        <v>1598499</v>
      </c>
      <c r="H1332">
        <v>1598499</v>
      </c>
    </row>
    <row r="1333" spans="1:8" x14ac:dyDescent="0.25">
      <c r="A1333" t="s">
        <v>1507</v>
      </c>
      <c r="B1333" t="s">
        <v>1600</v>
      </c>
      <c r="C1333">
        <v>176</v>
      </c>
      <c r="D1333">
        <v>2717786</v>
      </c>
      <c r="E1333">
        <v>2.7177859999999998</v>
      </c>
      <c r="F1333">
        <v>2019</v>
      </c>
      <c r="G1333">
        <v>15442</v>
      </c>
      <c r="H1333">
        <v>163826</v>
      </c>
    </row>
    <row r="1334" spans="1:8" x14ac:dyDescent="0.25">
      <c r="A1334" t="s">
        <v>1508</v>
      </c>
      <c r="B1334" t="s">
        <v>1600</v>
      </c>
      <c r="C1334">
        <v>6</v>
      </c>
      <c r="D1334">
        <v>1569195</v>
      </c>
      <c r="E1334">
        <v>1.5691949999999999</v>
      </c>
      <c r="F1334">
        <v>10607</v>
      </c>
      <c r="G1334">
        <v>261532.5</v>
      </c>
      <c r="H1334">
        <v>1448090</v>
      </c>
    </row>
    <row r="1335" spans="1:8" x14ac:dyDescent="0.25">
      <c r="A1335" t="s">
        <v>1509</v>
      </c>
      <c r="B1335" t="s">
        <v>1600</v>
      </c>
      <c r="C1335">
        <v>2</v>
      </c>
      <c r="D1335">
        <v>1923943</v>
      </c>
      <c r="E1335">
        <v>1.923943</v>
      </c>
      <c r="F1335">
        <v>48977</v>
      </c>
      <c r="G1335">
        <v>961971.5</v>
      </c>
      <c r="H1335">
        <v>1874966</v>
      </c>
    </row>
    <row r="1336" spans="1:8" x14ac:dyDescent="0.25">
      <c r="A1336" t="s">
        <v>607</v>
      </c>
      <c r="B1336" t="s">
        <v>1601</v>
      </c>
      <c r="C1336">
        <v>198</v>
      </c>
      <c r="D1336">
        <v>2844495</v>
      </c>
      <c r="E1336">
        <v>2.8444950000000002</v>
      </c>
      <c r="F1336">
        <v>2521</v>
      </c>
      <c r="G1336">
        <v>14366.1</v>
      </c>
      <c r="H1336">
        <v>109826</v>
      </c>
    </row>
    <row r="1337" spans="1:8" x14ac:dyDescent="0.25">
      <c r="A1337" t="s">
        <v>1034</v>
      </c>
      <c r="B1337" t="s">
        <v>1601</v>
      </c>
      <c r="C1337">
        <v>49</v>
      </c>
      <c r="D1337">
        <v>3208663</v>
      </c>
      <c r="E1337">
        <v>3.208663</v>
      </c>
      <c r="F1337">
        <v>2065</v>
      </c>
      <c r="G1337">
        <v>65482.9</v>
      </c>
      <c r="H1337">
        <v>534248</v>
      </c>
    </row>
    <row r="1338" spans="1:8" x14ac:dyDescent="0.25">
      <c r="A1338" t="s">
        <v>1035</v>
      </c>
      <c r="B1338" t="s">
        <v>1601</v>
      </c>
      <c r="C1338">
        <v>435</v>
      </c>
      <c r="D1338">
        <v>2201491</v>
      </c>
      <c r="E1338">
        <v>2.2014909999999999</v>
      </c>
      <c r="F1338">
        <v>2021</v>
      </c>
      <c r="G1338">
        <v>5060.8999999999996</v>
      </c>
      <c r="H1338">
        <v>39231</v>
      </c>
    </row>
    <row r="1339" spans="1:8" x14ac:dyDescent="0.25">
      <c r="A1339" t="s">
        <v>1510</v>
      </c>
      <c r="B1339" t="s">
        <v>1601</v>
      </c>
      <c r="C1339">
        <v>8</v>
      </c>
      <c r="D1339">
        <v>3262402</v>
      </c>
      <c r="E1339">
        <v>3.2624019999999998</v>
      </c>
      <c r="F1339">
        <v>6522</v>
      </c>
      <c r="G1339">
        <v>407800.3</v>
      </c>
      <c r="H1339">
        <v>1456109</v>
      </c>
    </row>
    <row r="1340" spans="1:8" x14ac:dyDescent="0.25">
      <c r="A1340" t="s">
        <v>608</v>
      </c>
      <c r="B1340" t="s">
        <v>1602</v>
      </c>
      <c r="C1340">
        <v>14</v>
      </c>
      <c r="D1340">
        <v>2260222</v>
      </c>
      <c r="E1340">
        <v>2.2602220000000002</v>
      </c>
      <c r="F1340">
        <v>2284</v>
      </c>
      <c r="G1340">
        <v>161444.4</v>
      </c>
      <c r="H1340">
        <v>726036</v>
      </c>
    </row>
    <row r="1341" spans="1:8" x14ac:dyDescent="0.25">
      <c r="A1341" t="s">
        <v>609</v>
      </c>
      <c r="B1341" t="s">
        <v>1602</v>
      </c>
      <c r="C1341">
        <v>13</v>
      </c>
      <c r="D1341">
        <v>2058951</v>
      </c>
      <c r="E1341">
        <v>2.058951</v>
      </c>
      <c r="F1341">
        <v>33929</v>
      </c>
      <c r="G1341">
        <v>158380.79999999999</v>
      </c>
      <c r="H1341">
        <v>519992</v>
      </c>
    </row>
    <row r="1342" spans="1:8" x14ac:dyDescent="0.25">
      <c r="A1342" t="s">
        <v>610</v>
      </c>
      <c r="B1342" t="s">
        <v>1602</v>
      </c>
      <c r="C1342">
        <v>9</v>
      </c>
      <c r="D1342">
        <v>2499699</v>
      </c>
      <c r="E1342">
        <v>2.4996990000000001</v>
      </c>
      <c r="F1342">
        <v>18052</v>
      </c>
      <c r="G1342">
        <v>277744.3</v>
      </c>
      <c r="H1342">
        <v>1231104</v>
      </c>
    </row>
    <row r="1343" spans="1:8" x14ac:dyDescent="0.25">
      <c r="A1343" t="s">
        <v>611</v>
      </c>
      <c r="B1343" t="s">
        <v>1602</v>
      </c>
      <c r="C1343">
        <v>3</v>
      </c>
      <c r="D1343">
        <v>2546874</v>
      </c>
      <c r="E1343">
        <v>2.5468739999999999</v>
      </c>
      <c r="F1343">
        <v>100705</v>
      </c>
      <c r="G1343">
        <v>848958</v>
      </c>
      <c r="H1343">
        <v>1584452</v>
      </c>
    </row>
    <row r="1344" spans="1:8" x14ac:dyDescent="0.25">
      <c r="A1344" t="s">
        <v>1036</v>
      </c>
      <c r="B1344" t="s">
        <v>1602</v>
      </c>
      <c r="C1344">
        <v>28</v>
      </c>
      <c r="D1344">
        <v>1491540</v>
      </c>
      <c r="E1344">
        <v>1.4915400000000001</v>
      </c>
      <c r="F1344">
        <v>7869</v>
      </c>
      <c r="G1344">
        <v>53269.3</v>
      </c>
      <c r="H1344">
        <v>188383</v>
      </c>
    </row>
    <row r="1345" spans="1:8" x14ac:dyDescent="0.25">
      <c r="A1345" t="s">
        <v>1037</v>
      </c>
      <c r="B1345" t="s">
        <v>1602</v>
      </c>
      <c r="C1345">
        <v>332</v>
      </c>
      <c r="D1345">
        <v>1511538</v>
      </c>
      <c r="E1345">
        <v>1.511538</v>
      </c>
      <c r="F1345">
        <v>2006</v>
      </c>
      <c r="G1345">
        <v>4552.8</v>
      </c>
      <c r="H1345">
        <v>75438</v>
      </c>
    </row>
    <row r="1346" spans="1:8" x14ac:dyDescent="0.25">
      <c r="A1346" t="s">
        <v>1511</v>
      </c>
      <c r="B1346" t="s">
        <v>1602</v>
      </c>
      <c r="C1346">
        <v>13</v>
      </c>
      <c r="D1346">
        <v>1886305</v>
      </c>
      <c r="E1346">
        <v>1.8863049999999999</v>
      </c>
      <c r="F1346">
        <v>2391</v>
      </c>
      <c r="G1346">
        <v>145100.4</v>
      </c>
      <c r="H1346">
        <v>664378</v>
      </c>
    </row>
    <row r="1347" spans="1:8" x14ac:dyDescent="0.25">
      <c r="A1347" t="s">
        <v>1512</v>
      </c>
      <c r="B1347" t="s">
        <v>1602</v>
      </c>
      <c r="C1347">
        <v>2</v>
      </c>
      <c r="D1347">
        <v>2499168</v>
      </c>
      <c r="E1347">
        <v>2.4991680000000001</v>
      </c>
      <c r="F1347">
        <v>59152</v>
      </c>
      <c r="G1347">
        <v>1249584</v>
      </c>
      <c r="H1347">
        <v>2440016</v>
      </c>
    </row>
    <row r="1348" spans="1:8" x14ac:dyDescent="0.25">
      <c r="A1348" t="s">
        <v>1513</v>
      </c>
      <c r="B1348" t="s">
        <v>1602</v>
      </c>
      <c r="C1348">
        <v>289</v>
      </c>
      <c r="D1348">
        <v>3186200</v>
      </c>
      <c r="E1348">
        <v>3.1861999999999999</v>
      </c>
      <c r="F1348">
        <v>2004</v>
      </c>
      <c r="G1348">
        <v>11024.9</v>
      </c>
      <c r="H1348">
        <v>67943</v>
      </c>
    </row>
    <row r="1349" spans="1:8" x14ac:dyDescent="0.25">
      <c r="A1349" t="s">
        <v>183</v>
      </c>
      <c r="B1349" t="s">
        <v>1603</v>
      </c>
      <c r="C1349">
        <v>23</v>
      </c>
      <c r="D1349">
        <v>3575324</v>
      </c>
      <c r="E1349">
        <v>3.5753240000000002</v>
      </c>
      <c r="F1349">
        <v>2750</v>
      </c>
      <c r="G1349">
        <v>155448.9</v>
      </c>
      <c r="H1349">
        <v>484546</v>
      </c>
    </row>
    <row r="1350" spans="1:8" x14ac:dyDescent="0.25">
      <c r="A1350" t="s">
        <v>184</v>
      </c>
      <c r="B1350" t="s">
        <v>1603</v>
      </c>
      <c r="C1350">
        <v>272</v>
      </c>
      <c r="D1350">
        <v>2536251</v>
      </c>
      <c r="E1350">
        <v>2.536251</v>
      </c>
      <c r="F1350">
        <v>2005</v>
      </c>
      <c r="G1350">
        <v>9324.5</v>
      </c>
      <c r="H1350">
        <v>243485</v>
      </c>
    </row>
    <row r="1351" spans="1:8" x14ac:dyDescent="0.25">
      <c r="A1351" t="s">
        <v>1038</v>
      </c>
      <c r="B1351" t="s">
        <v>1603</v>
      </c>
      <c r="C1351">
        <v>29</v>
      </c>
      <c r="D1351">
        <v>1287361</v>
      </c>
      <c r="E1351">
        <v>1.287361</v>
      </c>
      <c r="F1351">
        <v>4465</v>
      </c>
      <c r="G1351">
        <v>44391.8</v>
      </c>
      <c r="H1351">
        <v>150107</v>
      </c>
    </row>
    <row r="1352" spans="1:8" x14ac:dyDescent="0.25">
      <c r="A1352" t="s">
        <v>1039</v>
      </c>
      <c r="B1352" t="s">
        <v>1603</v>
      </c>
      <c r="C1352">
        <v>13</v>
      </c>
      <c r="D1352">
        <v>3526507</v>
      </c>
      <c r="E1352">
        <v>3.5265070000000001</v>
      </c>
      <c r="F1352">
        <v>2199</v>
      </c>
      <c r="G1352">
        <v>271269.8</v>
      </c>
      <c r="H1352">
        <v>693204</v>
      </c>
    </row>
    <row r="1353" spans="1:8" x14ac:dyDescent="0.25">
      <c r="A1353" t="s">
        <v>1514</v>
      </c>
      <c r="B1353" t="s">
        <v>1603</v>
      </c>
      <c r="C1353">
        <v>10</v>
      </c>
      <c r="D1353">
        <v>4049910</v>
      </c>
      <c r="E1353">
        <v>4.0499099999999997</v>
      </c>
      <c r="F1353">
        <v>2120</v>
      </c>
      <c r="G1353">
        <v>404991</v>
      </c>
      <c r="H1353">
        <v>3898148</v>
      </c>
    </row>
    <row r="1354" spans="1:8" x14ac:dyDescent="0.25">
      <c r="A1354" t="s">
        <v>1515</v>
      </c>
      <c r="B1354" t="s">
        <v>1603</v>
      </c>
      <c r="C1354">
        <v>3</v>
      </c>
      <c r="D1354">
        <v>3021622</v>
      </c>
      <c r="E1354">
        <v>3.0216219999999998</v>
      </c>
      <c r="F1354">
        <v>2335</v>
      </c>
      <c r="G1354">
        <v>1007207.3</v>
      </c>
      <c r="H1354">
        <v>3002878</v>
      </c>
    </row>
    <row r="1355" spans="1:8" x14ac:dyDescent="0.25">
      <c r="A1355" t="s">
        <v>1040</v>
      </c>
      <c r="B1355" t="s">
        <v>1604</v>
      </c>
      <c r="C1355">
        <v>350</v>
      </c>
      <c r="D1355">
        <v>2022178</v>
      </c>
      <c r="E1355">
        <v>2.0221779999999998</v>
      </c>
      <c r="F1355">
        <v>2004</v>
      </c>
      <c r="G1355">
        <v>5777.7</v>
      </c>
      <c r="H1355">
        <v>106284</v>
      </c>
    </row>
    <row r="1356" spans="1:8" x14ac:dyDescent="0.25">
      <c r="A1356" t="s">
        <v>1041</v>
      </c>
      <c r="B1356" t="s">
        <v>1604</v>
      </c>
      <c r="C1356">
        <v>445</v>
      </c>
      <c r="D1356">
        <v>1686373</v>
      </c>
      <c r="E1356">
        <v>1.6863729999999999</v>
      </c>
      <c r="F1356">
        <v>2004</v>
      </c>
      <c r="G1356">
        <v>3789.6</v>
      </c>
      <c r="H1356">
        <v>24011</v>
      </c>
    </row>
    <row r="1357" spans="1:8" x14ac:dyDescent="0.25">
      <c r="A1357" t="s">
        <v>1516</v>
      </c>
      <c r="B1357" t="s">
        <v>1604</v>
      </c>
      <c r="C1357">
        <v>535</v>
      </c>
      <c r="D1357">
        <v>2432053</v>
      </c>
      <c r="E1357">
        <v>2.4320529999999998</v>
      </c>
      <c r="F1357">
        <v>2000</v>
      </c>
      <c r="G1357">
        <v>4545.8999999999996</v>
      </c>
      <c r="H1357">
        <v>19846</v>
      </c>
    </row>
    <row r="1358" spans="1:8" x14ac:dyDescent="0.25">
      <c r="A1358" t="s">
        <v>612</v>
      </c>
      <c r="B1358" t="s">
        <v>1605</v>
      </c>
      <c r="C1358">
        <v>138</v>
      </c>
      <c r="D1358">
        <v>2782043</v>
      </c>
      <c r="E1358">
        <v>2.7820429999999998</v>
      </c>
      <c r="F1358">
        <v>2001</v>
      </c>
      <c r="G1358">
        <v>20159.7</v>
      </c>
      <c r="H1358">
        <v>192201</v>
      </c>
    </row>
    <row r="1359" spans="1:8" x14ac:dyDescent="0.25">
      <c r="A1359" t="s">
        <v>185</v>
      </c>
      <c r="B1359" t="s">
        <v>1606</v>
      </c>
      <c r="C1359">
        <v>85</v>
      </c>
      <c r="D1359">
        <v>915029</v>
      </c>
      <c r="E1359">
        <v>0.91502899999999998</v>
      </c>
      <c r="F1359">
        <v>2009</v>
      </c>
      <c r="G1359">
        <v>10765</v>
      </c>
      <c r="H1359">
        <v>384776</v>
      </c>
    </row>
    <row r="1360" spans="1:8" x14ac:dyDescent="0.25">
      <c r="A1360" t="s">
        <v>186</v>
      </c>
      <c r="B1360" t="s">
        <v>1606</v>
      </c>
      <c r="C1360">
        <v>301</v>
      </c>
      <c r="D1360">
        <v>1662040</v>
      </c>
      <c r="E1360">
        <v>1.66204</v>
      </c>
      <c r="F1360">
        <v>2006</v>
      </c>
      <c r="G1360">
        <v>5521.7</v>
      </c>
      <c r="H1360">
        <v>255579</v>
      </c>
    </row>
    <row r="1361" spans="1:8" x14ac:dyDescent="0.25">
      <c r="A1361" t="s">
        <v>187</v>
      </c>
      <c r="B1361" t="s">
        <v>1606</v>
      </c>
      <c r="C1361">
        <v>1</v>
      </c>
      <c r="D1361">
        <v>874687</v>
      </c>
      <c r="E1361">
        <v>0.87468699999999999</v>
      </c>
      <c r="F1361">
        <v>874687</v>
      </c>
      <c r="G1361">
        <v>874687</v>
      </c>
      <c r="H1361">
        <v>874687</v>
      </c>
    </row>
    <row r="1362" spans="1:8" x14ac:dyDescent="0.25">
      <c r="A1362" t="s">
        <v>613</v>
      </c>
      <c r="B1362" t="s">
        <v>1606</v>
      </c>
      <c r="C1362">
        <v>26</v>
      </c>
      <c r="D1362">
        <v>927147</v>
      </c>
      <c r="E1362">
        <v>0.92714700000000005</v>
      </c>
      <c r="F1362">
        <v>2535</v>
      </c>
      <c r="G1362">
        <v>35659.5</v>
      </c>
      <c r="H1362">
        <v>85282</v>
      </c>
    </row>
    <row r="1363" spans="1:8" x14ac:dyDescent="0.25">
      <c r="A1363" t="s">
        <v>614</v>
      </c>
      <c r="B1363" t="s">
        <v>1606</v>
      </c>
      <c r="C1363">
        <v>305</v>
      </c>
      <c r="D1363">
        <v>1088837</v>
      </c>
      <c r="E1363">
        <v>1.0888370000000001</v>
      </c>
      <c r="F1363">
        <v>2003</v>
      </c>
      <c r="G1363">
        <v>3570</v>
      </c>
      <c r="H1363">
        <v>14026</v>
      </c>
    </row>
    <row r="1364" spans="1:8" x14ac:dyDescent="0.25">
      <c r="A1364" t="s">
        <v>615</v>
      </c>
      <c r="B1364" t="s">
        <v>1606</v>
      </c>
      <c r="C1364">
        <v>35</v>
      </c>
      <c r="D1364">
        <v>820355</v>
      </c>
      <c r="E1364">
        <v>0.82035499999999995</v>
      </c>
      <c r="F1364">
        <v>2095</v>
      </c>
      <c r="G1364">
        <v>23438.7</v>
      </c>
      <c r="H1364">
        <v>99675</v>
      </c>
    </row>
    <row r="1365" spans="1:8" x14ac:dyDescent="0.25">
      <c r="A1365" t="s">
        <v>616</v>
      </c>
      <c r="B1365" t="s">
        <v>1606</v>
      </c>
      <c r="C1365">
        <v>43</v>
      </c>
      <c r="D1365">
        <v>456039</v>
      </c>
      <c r="E1365">
        <v>0.45603900000000003</v>
      </c>
      <c r="F1365">
        <v>2044</v>
      </c>
      <c r="G1365">
        <v>10605.6</v>
      </c>
      <c r="H1365">
        <v>95817</v>
      </c>
    </row>
    <row r="1366" spans="1:8" x14ac:dyDescent="0.25">
      <c r="A1366" t="s">
        <v>617</v>
      </c>
      <c r="B1366" t="s">
        <v>1606</v>
      </c>
      <c r="C1366">
        <v>3</v>
      </c>
      <c r="D1366">
        <v>680867</v>
      </c>
      <c r="E1366">
        <v>0.680867</v>
      </c>
      <c r="F1366">
        <v>2398</v>
      </c>
      <c r="G1366">
        <v>226955.7</v>
      </c>
      <c r="H1366">
        <v>584307</v>
      </c>
    </row>
    <row r="1367" spans="1:8" x14ac:dyDescent="0.25">
      <c r="A1367" t="s">
        <v>1042</v>
      </c>
      <c r="B1367" t="s">
        <v>1606</v>
      </c>
      <c r="C1367">
        <v>155</v>
      </c>
      <c r="D1367">
        <v>941504</v>
      </c>
      <c r="E1367">
        <v>0.94150400000000001</v>
      </c>
      <c r="F1367">
        <v>2125</v>
      </c>
      <c r="G1367">
        <v>6074.2</v>
      </c>
      <c r="H1367">
        <v>21713</v>
      </c>
    </row>
    <row r="1368" spans="1:8" x14ac:dyDescent="0.25">
      <c r="A1368" t="s">
        <v>1043</v>
      </c>
      <c r="B1368" t="s">
        <v>1606</v>
      </c>
      <c r="C1368">
        <v>1</v>
      </c>
      <c r="D1368">
        <v>1017888</v>
      </c>
      <c r="E1368">
        <v>1.0178879999999999</v>
      </c>
      <c r="F1368">
        <v>1017888</v>
      </c>
      <c r="G1368">
        <v>1017888</v>
      </c>
      <c r="H1368">
        <v>1017888</v>
      </c>
    </row>
    <row r="1369" spans="1:8" x14ac:dyDescent="0.25">
      <c r="A1369" t="s">
        <v>1044</v>
      </c>
      <c r="B1369" t="s">
        <v>1606</v>
      </c>
      <c r="C1369">
        <v>115</v>
      </c>
      <c r="D1369">
        <v>895522</v>
      </c>
      <c r="E1369">
        <v>0.89552200000000004</v>
      </c>
      <c r="F1369">
        <v>2550</v>
      </c>
      <c r="G1369">
        <v>7787.1</v>
      </c>
      <c r="H1369">
        <v>30400</v>
      </c>
    </row>
    <row r="1370" spans="1:8" x14ac:dyDescent="0.25">
      <c r="A1370" t="s">
        <v>1045</v>
      </c>
      <c r="B1370" t="s">
        <v>1606</v>
      </c>
      <c r="C1370">
        <v>106</v>
      </c>
      <c r="D1370">
        <v>533230</v>
      </c>
      <c r="E1370">
        <v>0.53322999999999998</v>
      </c>
      <c r="F1370">
        <v>2013</v>
      </c>
      <c r="G1370">
        <v>5030.5</v>
      </c>
      <c r="H1370">
        <v>24134</v>
      </c>
    </row>
    <row r="1371" spans="1:8" x14ac:dyDescent="0.25">
      <c r="A1371" t="s">
        <v>1046</v>
      </c>
      <c r="B1371" t="s">
        <v>1606</v>
      </c>
      <c r="C1371">
        <v>12</v>
      </c>
      <c r="D1371">
        <v>729479</v>
      </c>
      <c r="E1371">
        <v>0.72947899999999999</v>
      </c>
      <c r="F1371">
        <v>2688</v>
      </c>
      <c r="G1371">
        <v>60789.9</v>
      </c>
      <c r="H1371">
        <v>141902</v>
      </c>
    </row>
    <row r="1372" spans="1:8" x14ac:dyDescent="0.25">
      <c r="A1372" t="s">
        <v>1047</v>
      </c>
      <c r="B1372" t="s">
        <v>1606</v>
      </c>
      <c r="C1372">
        <v>11</v>
      </c>
      <c r="D1372">
        <v>591019</v>
      </c>
      <c r="E1372">
        <v>0.59101899999999996</v>
      </c>
      <c r="F1372">
        <v>5280</v>
      </c>
      <c r="G1372">
        <v>53729</v>
      </c>
      <c r="H1372">
        <v>161538</v>
      </c>
    </row>
    <row r="1373" spans="1:8" x14ac:dyDescent="0.25">
      <c r="A1373" t="s">
        <v>1517</v>
      </c>
      <c r="B1373" t="s">
        <v>1606</v>
      </c>
      <c r="C1373">
        <v>127</v>
      </c>
      <c r="D1373">
        <v>1152877</v>
      </c>
      <c r="E1373">
        <v>1.1528769999999999</v>
      </c>
      <c r="F1373">
        <v>2016</v>
      </c>
      <c r="G1373">
        <v>9077.7999999999993</v>
      </c>
      <c r="H1373">
        <v>32308</v>
      </c>
    </row>
    <row r="1374" spans="1:8" x14ac:dyDescent="0.25">
      <c r="A1374" t="s">
        <v>1518</v>
      </c>
      <c r="B1374" t="s">
        <v>1606</v>
      </c>
      <c r="C1374">
        <v>110</v>
      </c>
      <c r="D1374">
        <v>1175180</v>
      </c>
      <c r="E1374">
        <v>1.1751799999999999</v>
      </c>
      <c r="F1374">
        <v>2164</v>
      </c>
      <c r="G1374">
        <v>10683.5</v>
      </c>
      <c r="H1374">
        <v>45384</v>
      </c>
    </row>
    <row r="1375" spans="1:8" x14ac:dyDescent="0.25">
      <c r="A1375" t="s">
        <v>1519</v>
      </c>
      <c r="B1375" t="s">
        <v>1606</v>
      </c>
      <c r="C1375">
        <v>33</v>
      </c>
      <c r="D1375">
        <v>1323962</v>
      </c>
      <c r="E1375">
        <v>1.3239620000000001</v>
      </c>
      <c r="F1375">
        <v>2035</v>
      </c>
      <c r="G1375">
        <v>40120.1</v>
      </c>
      <c r="H1375">
        <v>1151968</v>
      </c>
    </row>
    <row r="1376" spans="1:8" x14ac:dyDescent="0.25">
      <c r="A1376" t="s">
        <v>1520</v>
      </c>
      <c r="B1376" t="s">
        <v>1606</v>
      </c>
      <c r="C1376">
        <v>6</v>
      </c>
      <c r="D1376">
        <v>782266</v>
      </c>
      <c r="E1376">
        <v>0.78226600000000002</v>
      </c>
      <c r="F1376">
        <v>47414</v>
      </c>
      <c r="G1376">
        <v>130377.7</v>
      </c>
      <c r="H1376">
        <v>393606</v>
      </c>
    </row>
    <row r="1377" spans="1:8" x14ac:dyDescent="0.25">
      <c r="A1377" t="s">
        <v>1521</v>
      </c>
      <c r="B1377" t="s">
        <v>1606</v>
      </c>
      <c r="C1377">
        <v>12</v>
      </c>
      <c r="D1377">
        <v>1345824</v>
      </c>
      <c r="E1377">
        <v>1.3458239999999999</v>
      </c>
      <c r="F1377">
        <v>2148</v>
      </c>
      <c r="G1377">
        <v>112152</v>
      </c>
      <c r="H1377">
        <v>356911</v>
      </c>
    </row>
    <row r="1378" spans="1:8" x14ac:dyDescent="0.25">
      <c r="A1378" t="s">
        <v>1522</v>
      </c>
      <c r="B1378" t="s">
        <v>1606</v>
      </c>
      <c r="C1378">
        <v>4</v>
      </c>
      <c r="D1378">
        <v>1357177</v>
      </c>
      <c r="E1378">
        <v>1.3571770000000001</v>
      </c>
      <c r="F1378">
        <v>2207</v>
      </c>
      <c r="G1378">
        <v>339294.3</v>
      </c>
      <c r="H1378">
        <v>1341195</v>
      </c>
    </row>
    <row r="1379" spans="1:8" x14ac:dyDescent="0.25">
      <c r="A1379" t="s">
        <v>1523</v>
      </c>
      <c r="B1379" t="s">
        <v>1606</v>
      </c>
      <c r="C1379">
        <v>18</v>
      </c>
      <c r="D1379">
        <v>903167</v>
      </c>
      <c r="E1379">
        <v>0.90316700000000005</v>
      </c>
      <c r="F1379">
        <v>7213</v>
      </c>
      <c r="G1379">
        <v>50175.9</v>
      </c>
      <c r="H1379">
        <v>183539</v>
      </c>
    </row>
    <row r="1380" spans="1:8" x14ac:dyDescent="0.25">
      <c r="A1380" t="s">
        <v>1524</v>
      </c>
      <c r="B1380" t="s">
        <v>1606</v>
      </c>
      <c r="C1380">
        <v>10</v>
      </c>
      <c r="D1380">
        <v>1043986</v>
      </c>
      <c r="E1380">
        <v>1.0439860000000001</v>
      </c>
      <c r="F1380">
        <v>2102</v>
      </c>
      <c r="G1380">
        <v>104398.6</v>
      </c>
      <c r="H1380">
        <v>312681</v>
      </c>
    </row>
    <row r="1381" spans="1:8" x14ac:dyDescent="0.25">
      <c r="A1381" t="s">
        <v>1525</v>
      </c>
      <c r="B1381" t="s">
        <v>1606</v>
      </c>
      <c r="C1381">
        <v>48</v>
      </c>
      <c r="D1381">
        <v>691423</v>
      </c>
      <c r="E1381">
        <v>0.69142300000000001</v>
      </c>
      <c r="F1381">
        <v>2020</v>
      </c>
      <c r="G1381">
        <v>14404.6</v>
      </c>
      <c r="H1381">
        <v>141947</v>
      </c>
    </row>
    <row r="1382" spans="1:8" x14ac:dyDescent="0.25">
      <c r="A1382" t="s">
        <v>1526</v>
      </c>
      <c r="B1382" t="s">
        <v>1606</v>
      </c>
      <c r="C1382">
        <v>43</v>
      </c>
      <c r="D1382">
        <v>631336</v>
      </c>
      <c r="E1382">
        <v>0.63133600000000001</v>
      </c>
      <c r="F1382">
        <v>2040</v>
      </c>
      <c r="G1382">
        <v>14682.2</v>
      </c>
      <c r="H1382">
        <v>133969</v>
      </c>
    </row>
    <row r="1383" spans="1:8" x14ac:dyDescent="0.25">
      <c r="A1383" t="s">
        <v>1527</v>
      </c>
      <c r="B1383" t="s">
        <v>1606</v>
      </c>
      <c r="C1383">
        <v>3</v>
      </c>
      <c r="D1383">
        <v>952818</v>
      </c>
      <c r="E1383">
        <v>0.95281800000000005</v>
      </c>
      <c r="F1383">
        <v>2556</v>
      </c>
      <c r="G1383">
        <v>317606</v>
      </c>
      <c r="H1383">
        <v>946386</v>
      </c>
    </row>
    <row r="1384" spans="1:8" x14ac:dyDescent="0.25">
      <c r="A1384" t="s">
        <v>1528</v>
      </c>
      <c r="B1384" t="s">
        <v>1606</v>
      </c>
      <c r="C1384">
        <v>6</v>
      </c>
      <c r="D1384">
        <v>815812</v>
      </c>
      <c r="E1384">
        <v>0.81581199999999998</v>
      </c>
      <c r="F1384">
        <v>2170</v>
      </c>
      <c r="G1384">
        <v>135968.70000000001</v>
      </c>
      <c r="H1384">
        <v>626691</v>
      </c>
    </row>
    <row r="1385" spans="1:8" x14ac:dyDescent="0.25">
      <c r="A1385" t="s">
        <v>1529</v>
      </c>
      <c r="B1385" t="s">
        <v>1606</v>
      </c>
      <c r="C1385">
        <v>30</v>
      </c>
      <c r="D1385">
        <v>740998</v>
      </c>
      <c r="E1385">
        <v>0.74099800000000005</v>
      </c>
      <c r="F1385">
        <v>2017</v>
      </c>
      <c r="G1385">
        <v>24699.9</v>
      </c>
      <c r="H1385">
        <v>299139</v>
      </c>
    </row>
    <row r="1386" spans="1:8" x14ac:dyDescent="0.25">
      <c r="A1386" t="s">
        <v>1530</v>
      </c>
      <c r="B1386" t="s">
        <v>1606</v>
      </c>
      <c r="C1386">
        <v>5</v>
      </c>
      <c r="D1386">
        <v>834907</v>
      </c>
      <c r="E1386">
        <v>0.83490699999999995</v>
      </c>
      <c r="F1386">
        <v>10879</v>
      </c>
      <c r="G1386">
        <v>166981.4</v>
      </c>
      <c r="H1386">
        <v>349943</v>
      </c>
    </row>
    <row r="1387" spans="1:8" x14ac:dyDescent="0.25">
      <c r="A1387" t="s">
        <v>1531</v>
      </c>
      <c r="B1387" t="s">
        <v>1606</v>
      </c>
      <c r="C1387">
        <v>2</v>
      </c>
      <c r="D1387">
        <v>867915</v>
      </c>
      <c r="E1387">
        <v>0.86791499999999999</v>
      </c>
      <c r="F1387">
        <v>10317</v>
      </c>
      <c r="G1387">
        <v>433957.5</v>
      </c>
      <c r="H1387">
        <v>857598</v>
      </c>
    </row>
    <row r="1388" spans="1:8" x14ac:dyDescent="0.25">
      <c r="A1388" t="s">
        <v>188</v>
      </c>
      <c r="B1388" t="s">
        <v>1607</v>
      </c>
      <c r="C1388">
        <v>98</v>
      </c>
      <c r="D1388">
        <v>2704654</v>
      </c>
      <c r="E1388">
        <v>2.7046540000000001</v>
      </c>
      <c r="F1388">
        <v>1000</v>
      </c>
      <c r="G1388">
        <v>27598.5</v>
      </c>
      <c r="H1388">
        <v>258528</v>
      </c>
    </row>
    <row r="1389" spans="1:8" x14ac:dyDescent="0.25">
      <c r="A1389" t="s">
        <v>189</v>
      </c>
      <c r="B1389" t="s">
        <v>1607</v>
      </c>
      <c r="C1389">
        <v>31</v>
      </c>
      <c r="D1389">
        <v>2762937</v>
      </c>
      <c r="E1389">
        <v>2.762937</v>
      </c>
      <c r="F1389">
        <v>2926</v>
      </c>
      <c r="G1389">
        <v>89127</v>
      </c>
      <c r="H1389">
        <v>354090</v>
      </c>
    </row>
    <row r="1390" spans="1:8" x14ac:dyDescent="0.25">
      <c r="A1390" t="s">
        <v>190</v>
      </c>
      <c r="B1390" t="s">
        <v>1607</v>
      </c>
      <c r="C1390">
        <v>47</v>
      </c>
      <c r="D1390">
        <v>3156354</v>
      </c>
      <c r="E1390">
        <v>3.1563539999999999</v>
      </c>
      <c r="F1390">
        <v>4239</v>
      </c>
      <c r="G1390">
        <v>67156.5</v>
      </c>
      <c r="H1390">
        <v>246992</v>
      </c>
    </row>
    <row r="1391" spans="1:8" x14ac:dyDescent="0.25">
      <c r="A1391" t="s">
        <v>191</v>
      </c>
      <c r="B1391" t="s">
        <v>1607</v>
      </c>
      <c r="C1391">
        <v>34</v>
      </c>
      <c r="D1391">
        <v>3447955</v>
      </c>
      <c r="E1391">
        <v>3.4479549999999999</v>
      </c>
      <c r="F1391">
        <v>9456</v>
      </c>
      <c r="G1391">
        <v>101410.4</v>
      </c>
      <c r="H1391">
        <v>277663</v>
      </c>
    </row>
    <row r="1392" spans="1:8" x14ac:dyDescent="0.25">
      <c r="A1392" t="s">
        <v>192</v>
      </c>
      <c r="B1392" t="s">
        <v>1607</v>
      </c>
      <c r="C1392">
        <v>67</v>
      </c>
      <c r="D1392">
        <v>3279019</v>
      </c>
      <c r="E1392">
        <v>3.2790189999999999</v>
      </c>
      <c r="F1392">
        <v>2009</v>
      </c>
      <c r="G1392">
        <v>48940.6</v>
      </c>
      <c r="H1392">
        <v>381367</v>
      </c>
    </row>
    <row r="1393" spans="1:8" x14ac:dyDescent="0.25">
      <c r="A1393" t="s">
        <v>193</v>
      </c>
      <c r="B1393" t="s">
        <v>1607</v>
      </c>
      <c r="C1393">
        <v>85</v>
      </c>
      <c r="D1393">
        <v>3499269</v>
      </c>
      <c r="E1393">
        <v>3.499269</v>
      </c>
      <c r="F1393">
        <v>2186</v>
      </c>
      <c r="G1393">
        <v>41167.9</v>
      </c>
      <c r="H1393">
        <v>264829</v>
      </c>
    </row>
    <row r="1394" spans="1:8" x14ac:dyDescent="0.25">
      <c r="A1394" t="s">
        <v>194</v>
      </c>
      <c r="B1394" t="s">
        <v>1607</v>
      </c>
      <c r="C1394">
        <v>6</v>
      </c>
      <c r="D1394">
        <v>4913308</v>
      </c>
      <c r="E1394">
        <v>4.9133079999999998</v>
      </c>
      <c r="F1394">
        <v>15682</v>
      </c>
      <c r="G1394">
        <v>818884.7</v>
      </c>
      <c r="H1394">
        <v>1830154</v>
      </c>
    </row>
    <row r="1395" spans="1:8" x14ac:dyDescent="0.25">
      <c r="A1395" t="s">
        <v>195</v>
      </c>
      <c r="B1395" t="s">
        <v>1607</v>
      </c>
      <c r="C1395">
        <v>17</v>
      </c>
      <c r="D1395">
        <v>4595197</v>
      </c>
      <c r="E1395">
        <v>4.5951969999999998</v>
      </c>
      <c r="F1395">
        <v>2277</v>
      </c>
      <c r="G1395">
        <v>270305.7</v>
      </c>
      <c r="H1395">
        <v>638727</v>
      </c>
    </row>
    <row r="1396" spans="1:8" x14ac:dyDescent="0.25">
      <c r="A1396" t="s">
        <v>196</v>
      </c>
      <c r="B1396" t="s">
        <v>1607</v>
      </c>
      <c r="C1396">
        <v>25</v>
      </c>
      <c r="D1396">
        <v>4378044</v>
      </c>
      <c r="E1396">
        <v>4.378044</v>
      </c>
      <c r="F1396">
        <v>5093</v>
      </c>
      <c r="G1396">
        <v>175121.8</v>
      </c>
      <c r="H1396">
        <v>611522</v>
      </c>
    </row>
    <row r="1397" spans="1:8" x14ac:dyDescent="0.25">
      <c r="A1397" t="s">
        <v>197</v>
      </c>
      <c r="B1397" t="s">
        <v>1607</v>
      </c>
      <c r="C1397">
        <v>9</v>
      </c>
      <c r="D1397">
        <v>4107153</v>
      </c>
      <c r="E1397">
        <v>4.1071530000000003</v>
      </c>
      <c r="F1397">
        <v>38318</v>
      </c>
      <c r="G1397">
        <v>456350.3</v>
      </c>
      <c r="H1397">
        <v>985021</v>
      </c>
    </row>
    <row r="1398" spans="1:8" x14ac:dyDescent="0.25">
      <c r="A1398" t="s">
        <v>198</v>
      </c>
      <c r="B1398" t="s">
        <v>1607</v>
      </c>
      <c r="C1398">
        <v>17</v>
      </c>
      <c r="D1398">
        <v>4963600</v>
      </c>
      <c r="E1398">
        <v>4.9635999999999996</v>
      </c>
      <c r="F1398">
        <v>2013</v>
      </c>
      <c r="G1398">
        <v>291976.5</v>
      </c>
      <c r="H1398">
        <v>1130779</v>
      </c>
    </row>
    <row r="1399" spans="1:8" x14ac:dyDescent="0.25">
      <c r="A1399" t="s">
        <v>199</v>
      </c>
      <c r="B1399" t="s">
        <v>1607</v>
      </c>
      <c r="C1399">
        <v>4</v>
      </c>
      <c r="D1399">
        <v>4263345</v>
      </c>
      <c r="E1399">
        <v>4.2633450000000002</v>
      </c>
      <c r="F1399">
        <v>508766</v>
      </c>
      <c r="G1399">
        <v>1065836.3</v>
      </c>
      <c r="H1399">
        <v>1542712</v>
      </c>
    </row>
    <row r="1400" spans="1:8" x14ac:dyDescent="0.25">
      <c r="A1400" t="s">
        <v>200</v>
      </c>
      <c r="B1400" t="s">
        <v>1607</v>
      </c>
      <c r="C1400">
        <v>38</v>
      </c>
      <c r="D1400">
        <v>4514384</v>
      </c>
      <c r="E1400">
        <v>4.5143839999999997</v>
      </c>
      <c r="F1400">
        <v>2103</v>
      </c>
      <c r="G1400">
        <v>118799.6</v>
      </c>
      <c r="H1400">
        <v>754129</v>
      </c>
    </row>
    <row r="1401" spans="1:8" x14ac:dyDescent="0.25">
      <c r="A1401" t="s">
        <v>201</v>
      </c>
      <c r="B1401" t="s">
        <v>1607</v>
      </c>
      <c r="C1401">
        <v>7</v>
      </c>
      <c r="D1401">
        <v>4916152</v>
      </c>
      <c r="E1401">
        <v>4.9161520000000003</v>
      </c>
      <c r="F1401">
        <v>11440</v>
      </c>
      <c r="G1401">
        <v>702307.4</v>
      </c>
      <c r="H1401">
        <v>2460397</v>
      </c>
    </row>
    <row r="1402" spans="1:8" x14ac:dyDescent="0.25">
      <c r="A1402" t="s">
        <v>618</v>
      </c>
      <c r="B1402" t="s">
        <v>1607</v>
      </c>
      <c r="C1402">
        <v>618</v>
      </c>
      <c r="D1402">
        <v>3572126</v>
      </c>
      <c r="E1402">
        <v>3.5721259999999999</v>
      </c>
      <c r="F1402">
        <v>2000</v>
      </c>
      <c r="G1402">
        <v>5780.1</v>
      </c>
      <c r="H1402">
        <v>111777</v>
      </c>
    </row>
    <row r="1403" spans="1:8" x14ac:dyDescent="0.25">
      <c r="A1403" t="s">
        <v>619</v>
      </c>
      <c r="B1403" t="s">
        <v>1607</v>
      </c>
      <c r="C1403">
        <v>192</v>
      </c>
      <c r="D1403">
        <v>5577501</v>
      </c>
      <c r="E1403">
        <v>5.5775009999999998</v>
      </c>
      <c r="F1403">
        <v>2505</v>
      </c>
      <c r="G1403">
        <v>29049.5</v>
      </c>
      <c r="H1403">
        <v>111624</v>
      </c>
    </row>
    <row r="1404" spans="1:8" x14ac:dyDescent="0.25">
      <c r="A1404" t="s">
        <v>620</v>
      </c>
      <c r="B1404" t="s">
        <v>1607</v>
      </c>
      <c r="C1404">
        <v>92</v>
      </c>
      <c r="D1404">
        <v>2742369</v>
      </c>
      <c r="E1404">
        <v>2.7423690000000001</v>
      </c>
      <c r="F1404">
        <v>2002</v>
      </c>
      <c r="G1404">
        <v>29808.400000000001</v>
      </c>
      <c r="H1404">
        <v>179533</v>
      </c>
    </row>
    <row r="1405" spans="1:8" x14ac:dyDescent="0.25">
      <c r="A1405" t="s">
        <v>621</v>
      </c>
      <c r="B1405" t="s">
        <v>1607</v>
      </c>
      <c r="C1405">
        <v>50</v>
      </c>
      <c r="D1405">
        <v>3106239</v>
      </c>
      <c r="E1405">
        <v>3.106239</v>
      </c>
      <c r="F1405">
        <v>2001</v>
      </c>
      <c r="G1405">
        <v>62124.800000000003</v>
      </c>
      <c r="H1405">
        <v>328562</v>
      </c>
    </row>
    <row r="1406" spans="1:8" x14ac:dyDescent="0.25">
      <c r="A1406" t="s">
        <v>1048</v>
      </c>
      <c r="B1406" t="s">
        <v>1607</v>
      </c>
      <c r="C1406">
        <v>421</v>
      </c>
      <c r="D1406">
        <v>2455766</v>
      </c>
      <c r="E1406">
        <v>2.4557660000000001</v>
      </c>
      <c r="F1406">
        <v>2001</v>
      </c>
      <c r="G1406">
        <v>5833.2</v>
      </c>
      <c r="H1406">
        <v>96945</v>
      </c>
    </row>
    <row r="1407" spans="1:8" x14ac:dyDescent="0.25">
      <c r="A1407" t="s">
        <v>1049</v>
      </c>
      <c r="B1407" t="s">
        <v>1607</v>
      </c>
      <c r="C1407">
        <v>569</v>
      </c>
      <c r="D1407">
        <v>3540798</v>
      </c>
      <c r="E1407">
        <v>3.5407980000000001</v>
      </c>
      <c r="F1407">
        <v>2002</v>
      </c>
      <c r="G1407">
        <v>6222.8</v>
      </c>
      <c r="H1407">
        <v>107943</v>
      </c>
    </row>
    <row r="1408" spans="1:8" x14ac:dyDescent="0.25">
      <c r="A1408" t="s">
        <v>1050</v>
      </c>
      <c r="B1408" t="s">
        <v>1607</v>
      </c>
      <c r="C1408">
        <v>244</v>
      </c>
      <c r="D1408">
        <v>2931656</v>
      </c>
      <c r="E1408">
        <v>2.9316559999999998</v>
      </c>
      <c r="F1408">
        <v>2001</v>
      </c>
      <c r="G1408">
        <v>12015</v>
      </c>
      <c r="H1408">
        <v>261290</v>
      </c>
    </row>
    <row r="1409" spans="1:8" x14ac:dyDescent="0.25">
      <c r="A1409" t="s">
        <v>1051</v>
      </c>
      <c r="B1409" t="s">
        <v>1607</v>
      </c>
      <c r="C1409">
        <v>8</v>
      </c>
      <c r="D1409">
        <v>4199507</v>
      </c>
      <c r="E1409">
        <v>4.1995069999999997</v>
      </c>
      <c r="F1409">
        <v>24776</v>
      </c>
      <c r="G1409">
        <v>524938.4</v>
      </c>
      <c r="H1409">
        <v>1218596</v>
      </c>
    </row>
    <row r="1410" spans="1:8" x14ac:dyDescent="0.25">
      <c r="A1410" t="s">
        <v>1052</v>
      </c>
      <c r="B1410" t="s">
        <v>1607</v>
      </c>
      <c r="C1410">
        <v>17</v>
      </c>
      <c r="D1410">
        <v>4448963</v>
      </c>
      <c r="E1410">
        <v>4.448963</v>
      </c>
      <c r="F1410">
        <v>11703</v>
      </c>
      <c r="G1410">
        <v>261703.7</v>
      </c>
      <c r="H1410">
        <v>1527627</v>
      </c>
    </row>
    <row r="1411" spans="1:8" x14ac:dyDescent="0.25">
      <c r="A1411" t="s">
        <v>1053</v>
      </c>
      <c r="B1411" t="s">
        <v>1607</v>
      </c>
      <c r="C1411">
        <v>144</v>
      </c>
      <c r="D1411">
        <v>4832753</v>
      </c>
      <c r="E1411">
        <v>4.8327530000000003</v>
      </c>
      <c r="F1411">
        <v>2678</v>
      </c>
      <c r="G1411">
        <v>33560.800000000003</v>
      </c>
      <c r="H1411">
        <v>208360</v>
      </c>
    </row>
    <row r="1412" spans="1:8" x14ac:dyDescent="0.25">
      <c r="A1412" t="s">
        <v>1054</v>
      </c>
      <c r="B1412" t="s">
        <v>1607</v>
      </c>
      <c r="C1412">
        <v>117</v>
      </c>
      <c r="D1412">
        <v>3383348</v>
      </c>
      <c r="E1412">
        <v>3.3833479999999998</v>
      </c>
      <c r="F1412">
        <v>2002</v>
      </c>
      <c r="G1412">
        <v>28917.5</v>
      </c>
      <c r="H1412">
        <v>154581</v>
      </c>
    </row>
    <row r="1413" spans="1:8" x14ac:dyDescent="0.25">
      <c r="A1413" t="s">
        <v>1055</v>
      </c>
      <c r="B1413" t="s">
        <v>1607</v>
      </c>
      <c r="C1413">
        <v>80</v>
      </c>
      <c r="D1413">
        <v>4511784</v>
      </c>
      <c r="E1413">
        <v>4.5117839999999996</v>
      </c>
      <c r="F1413">
        <v>13345</v>
      </c>
      <c r="G1413">
        <v>56397.3</v>
      </c>
      <c r="H1413">
        <v>280577</v>
      </c>
    </row>
    <row r="1414" spans="1:8" x14ac:dyDescent="0.25">
      <c r="A1414" t="s">
        <v>1056</v>
      </c>
      <c r="B1414" t="s">
        <v>1607</v>
      </c>
      <c r="C1414">
        <v>134</v>
      </c>
      <c r="D1414">
        <v>3754141</v>
      </c>
      <c r="E1414">
        <v>3.7541410000000002</v>
      </c>
      <c r="F1414">
        <v>3046</v>
      </c>
      <c r="G1414">
        <v>28016</v>
      </c>
      <c r="H1414">
        <v>108548</v>
      </c>
    </row>
    <row r="1415" spans="1:8" x14ac:dyDescent="0.25">
      <c r="A1415" t="s">
        <v>1532</v>
      </c>
      <c r="B1415" t="s">
        <v>1607</v>
      </c>
      <c r="C1415">
        <v>443</v>
      </c>
      <c r="D1415">
        <v>2727163</v>
      </c>
      <c r="E1415">
        <v>2.727163</v>
      </c>
      <c r="F1415">
        <v>2005</v>
      </c>
      <c r="G1415">
        <v>6156.1</v>
      </c>
      <c r="H1415">
        <v>190480</v>
      </c>
    </row>
    <row r="1416" spans="1:8" x14ac:dyDescent="0.25">
      <c r="A1416" t="s">
        <v>1533</v>
      </c>
      <c r="B1416" t="s">
        <v>1607</v>
      </c>
      <c r="C1416">
        <v>65</v>
      </c>
      <c r="D1416">
        <v>2946032</v>
      </c>
      <c r="E1416">
        <v>2.9460320000000002</v>
      </c>
      <c r="F1416">
        <v>2558</v>
      </c>
      <c r="G1416">
        <v>45323.6</v>
      </c>
      <c r="H1416">
        <v>171946</v>
      </c>
    </row>
    <row r="1417" spans="1:8" x14ac:dyDescent="0.25">
      <c r="A1417" t="s">
        <v>1534</v>
      </c>
      <c r="B1417" t="s">
        <v>1607</v>
      </c>
      <c r="C1417">
        <v>38</v>
      </c>
      <c r="D1417">
        <v>4750091</v>
      </c>
      <c r="E1417">
        <v>4.7500910000000003</v>
      </c>
      <c r="F1417">
        <v>2141</v>
      </c>
      <c r="G1417">
        <v>125002.4</v>
      </c>
      <c r="H1417">
        <v>898333</v>
      </c>
    </row>
    <row r="1418" spans="1:8" x14ac:dyDescent="0.25">
      <c r="A1418" t="s">
        <v>1535</v>
      </c>
      <c r="B1418" t="s">
        <v>1607</v>
      </c>
      <c r="C1418">
        <v>38</v>
      </c>
      <c r="D1418">
        <v>4839228</v>
      </c>
      <c r="E1418">
        <v>4.8392280000000003</v>
      </c>
      <c r="F1418">
        <v>4428</v>
      </c>
      <c r="G1418">
        <v>127348.1</v>
      </c>
      <c r="H1418">
        <v>916053</v>
      </c>
    </row>
    <row r="1419" spans="1:8" x14ac:dyDescent="0.25">
      <c r="A1419" t="s">
        <v>1536</v>
      </c>
      <c r="B1419" t="s">
        <v>1607</v>
      </c>
      <c r="C1419">
        <v>77</v>
      </c>
      <c r="D1419">
        <v>2756473</v>
      </c>
      <c r="E1419">
        <v>2.7564730000000002</v>
      </c>
      <c r="F1419">
        <v>2566</v>
      </c>
      <c r="G1419">
        <v>35798.400000000001</v>
      </c>
      <c r="H1419">
        <v>128364</v>
      </c>
    </row>
    <row r="1420" spans="1:8" x14ac:dyDescent="0.25">
      <c r="A1420" t="s">
        <v>1537</v>
      </c>
      <c r="B1420" t="s">
        <v>1607</v>
      </c>
      <c r="C1420">
        <v>25</v>
      </c>
      <c r="D1420">
        <v>2658400</v>
      </c>
      <c r="E1420">
        <v>2.6583999999999999</v>
      </c>
      <c r="F1420">
        <v>4036</v>
      </c>
      <c r="G1420">
        <v>106336</v>
      </c>
      <c r="H1420">
        <v>349422</v>
      </c>
    </row>
    <row r="1421" spans="1:8" x14ac:dyDescent="0.25">
      <c r="A1421" t="s">
        <v>1538</v>
      </c>
      <c r="B1421" t="s">
        <v>1607</v>
      </c>
      <c r="C1421">
        <v>55</v>
      </c>
      <c r="D1421">
        <v>4505964</v>
      </c>
      <c r="E1421">
        <v>4.5059639999999996</v>
      </c>
      <c r="F1421">
        <v>2434</v>
      </c>
      <c r="G1421">
        <v>81926.600000000006</v>
      </c>
      <c r="H1421">
        <v>695386</v>
      </c>
    </row>
    <row r="1422" spans="1:8" x14ac:dyDescent="0.25">
      <c r="A1422" t="s">
        <v>1539</v>
      </c>
      <c r="B1422" t="s">
        <v>1607</v>
      </c>
      <c r="C1422">
        <v>31</v>
      </c>
      <c r="D1422">
        <v>3934297</v>
      </c>
      <c r="E1422">
        <v>3.9342969999999999</v>
      </c>
      <c r="F1422">
        <v>7448</v>
      </c>
      <c r="G1422">
        <v>126912.8</v>
      </c>
      <c r="H1422">
        <v>393552</v>
      </c>
    </row>
    <row r="1423" spans="1:8" x14ac:dyDescent="0.25">
      <c r="A1423" t="s">
        <v>1540</v>
      </c>
      <c r="B1423" t="s">
        <v>1607</v>
      </c>
      <c r="C1423">
        <v>36</v>
      </c>
      <c r="D1423">
        <v>3058833</v>
      </c>
      <c r="E1423">
        <v>3.0588329999999999</v>
      </c>
      <c r="F1423">
        <v>8826</v>
      </c>
      <c r="G1423">
        <v>84967.6</v>
      </c>
      <c r="H1423">
        <v>186141</v>
      </c>
    </row>
    <row r="1424" spans="1:8" x14ac:dyDescent="0.25">
      <c r="A1424" t="s">
        <v>202</v>
      </c>
      <c r="B1424" t="s">
        <v>1608</v>
      </c>
      <c r="C1424">
        <v>6</v>
      </c>
      <c r="D1424">
        <v>2414965</v>
      </c>
      <c r="E1424">
        <v>2.414965</v>
      </c>
      <c r="F1424">
        <v>3643</v>
      </c>
      <c r="G1424">
        <v>402494.2</v>
      </c>
      <c r="H1424">
        <v>1393521</v>
      </c>
    </row>
    <row r="1425" spans="1:8" x14ac:dyDescent="0.25">
      <c r="A1425" t="s">
        <v>203</v>
      </c>
      <c r="B1425" t="s">
        <v>1608</v>
      </c>
      <c r="C1425">
        <v>3</v>
      </c>
      <c r="D1425">
        <v>1987942</v>
      </c>
      <c r="E1425">
        <v>1.9879420000000001</v>
      </c>
      <c r="F1425">
        <v>527259</v>
      </c>
      <c r="G1425">
        <v>662647.30000000005</v>
      </c>
      <c r="H1425">
        <v>748000</v>
      </c>
    </row>
    <row r="1426" spans="1:8" x14ac:dyDescent="0.25">
      <c r="A1426" t="s">
        <v>204</v>
      </c>
      <c r="B1426" t="s">
        <v>1608</v>
      </c>
      <c r="C1426">
        <v>19</v>
      </c>
      <c r="D1426">
        <v>1648674</v>
      </c>
      <c r="E1426">
        <v>1.648674</v>
      </c>
      <c r="F1426">
        <v>9483</v>
      </c>
      <c r="G1426">
        <v>86772.3</v>
      </c>
      <c r="H1426">
        <v>343908</v>
      </c>
    </row>
    <row r="1427" spans="1:8" x14ac:dyDescent="0.25">
      <c r="A1427" t="s">
        <v>205</v>
      </c>
      <c r="B1427" t="s">
        <v>1608</v>
      </c>
      <c r="C1427">
        <v>2</v>
      </c>
      <c r="D1427">
        <v>1963126</v>
      </c>
      <c r="E1427">
        <v>1.9631259999999999</v>
      </c>
      <c r="F1427">
        <v>254677</v>
      </c>
      <c r="G1427">
        <v>981563</v>
      </c>
      <c r="H1427">
        <v>1708449</v>
      </c>
    </row>
    <row r="1428" spans="1:8" x14ac:dyDescent="0.25">
      <c r="A1428" t="s">
        <v>206</v>
      </c>
      <c r="B1428" t="s">
        <v>1608</v>
      </c>
      <c r="C1428">
        <v>45</v>
      </c>
      <c r="D1428">
        <v>1262687</v>
      </c>
      <c r="E1428">
        <v>1.2626869999999999</v>
      </c>
      <c r="F1428">
        <v>2076</v>
      </c>
      <c r="G1428">
        <v>28059.7</v>
      </c>
      <c r="H1428">
        <v>170250</v>
      </c>
    </row>
    <row r="1429" spans="1:8" x14ac:dyDescent="0.25">
      <c r="A1429" t="s">
        <v>207</v>
      </c>
      <c r="B1429" t="s">
        <v>1608</v>
      </c>
      <c r="C1429">
        <v>3</v>
      </c>
      <c r="D1429">
        <v>1847038</v>
      </c>
      <c r="E1429">
        <v>1.847038</v>
      </c>
      <c r="F1429">
        <v>187555</v>
      </c>
      <c r="G1429">
        <v>615679.30000000005</v>
      </c>
      <c r="H1429">
        <v>1207292</v>
      </c>
    </row>
    <row r="1430" spans="1:8" x14ac:dyDescent="0.25">
      <c r="A1430" t="s">
        <v>208</v>
      </c>
      <c r="B1430" t="s">
        <v>1608</v>
      </c>
      <c r="C1430">
        <v>6</v>
      </c>
      <c r="D1430">
        <v>1898989</v>
      </c>
      <c r="E1430">
        <v>1.898989</v>
      </c>
      <c r="F1430">
        <v>2400</v>
      </c>
      <c r="G1430">
        <v>316498.2</v>
      </c>
      <c r="H1430">
        <v>1034275</v>
      </c>
    </row>
    <row r="1431" spans="1:8" x14ac:dyDescent="0.25">
      <c r="A1431" t="s">
        <v>209</v>
      </c>
      <c r="B1431" t="s">
        <v>1608</v>
      </c>
      <c r="C1431">
        <v>10</v>
      </c>
      <c r="D1431">
        <v>1766533</v>
      </c>
      <c r="E1431">
        <v>1.7665329999999999</v>
      </c>
      <c r="F1431">
        <v>2546</v>
      </c>
      <c r="G1431">
        <v>176653.3</v>
      </c>
      <c r="H1431">
        <v>1375054</v>
      </c>
    </row>
    <row r="1432" spans="1:8" x14ac:dyDescent="0.25">
      <c r="A1432" t="s">
        <v>210</v>
      </c>
      <c r="B1432" t="s">
        <v>1608</v>
      </c>
      <c r="C1432">
        <v>28</v>
      </c>
      <c r="D1432">
        <v>1041966</v>
      </c>
      <c r="E1432">
        <v>1.0419659999999999</v>
      </c>
      <c r="F1432">
        <v>2158</v>
      </c>
      <c r="G1432">
        <v>37213.1</v>
      </c>
      <c r="H1432">
        <v>298886</v>
      </c>
    </row>
    <row r="1433" spans="1:8" x14ac:dyDescent="0.25">
      <c r="A1433" t="s">
        <v>211</v>
      </c>
      <c r="B1433" t="s">
        <v>1608</v>
      </c>
      <c r="C1433">
        <v>8</v>
      </c>
      <c r="D1433">
        <v>1126987</v>
      </c>
      <c r="E1433">
        <v>1.126987</v>
      </c>
      <c r="F1433">
        <v>5611</v>
      </c>
      <c r="G1433">
        <v>140873.4</v>
      </c>
      <c r="H1433">
        <v>428333</v>
      </c>
    </row>
    <row r="1434" spans="1:8" x14ac:dyDescent="0.25">
      <c r="A1434" t="s">
        <v>212</v>
      </c>
      <c r="B1434" t="s">
        <v>1608</v>
      </c>
      <c r="C1434">
        <v>1</v>
      </c>
      <c r="D1434">
        <v>1140404</v>
      </c>
      <c r="E1434">
        <v>1.140404</v>
      </c>
      <c r="F1434">
        <v>1140404</v>
      </c>
      <c r="G1434">
        <v>1140404</v>
      </c>
      <c r="H1434">
        <v>1140404</v>
      </c>
    </row>
    <row r="1435" spans="1:8" x14ac:dyDescent="0.25">
      <c r="A1435" t="s">
        <v>213</v>
      </c>
      <c r="B1435" t="s">
        <v>1608</v>
      </c>
      <c r="C1435">
        <v>179</v>
      </c>
      <c r="D1435">
        <v>1614132</v>
      </c>
      <c r="E1435">
        <v>1.6141319999999999</v>
      </c>
      <c r="F1435">
        <v>2002</v>
      </c>
      <c r="G1435">
        <v>9017.5</v>
      </c>
      <c r="H1435">
        <v>154720</v>
      </c>
    </row>
    <row r="1436" spans="1:8" x14ac:dyDescent="0.25">
      <c r="A1436" t="s">
        <v>214</v>
      </c>
      <c r="B1436" t="s">
        <v>1608</v>
      </c>
      <c r="C1436">
        <v>149</v>
      </c>
      <c r="D1436">
        <v>2077588</v>
      </c>
      <c r="E1436">
        <v>2.077588</v>
      </c>
      <c r="F1436">
        <v>2004</v>
      </c>
      <c r="G1436">
        <v>13943.5</v>
      </c>
      <c r="H1436">
        <v>145031</v>
      </c>
    </row>
    <row r="1437" spans="1:8" x14ac:dyDescent="0.25">
      <c r="A1437" t="s">
        <v>215</v>
      </c>
      <c r="B1437" t="s">
        <v>1608</v>
      </c>
      <c r="C1437">
        <v>13</v>
      </c>
      <c r="D1437">
        <v>1982316</v>
      </c>
      <c r="E1437">
        <v>1.982316</v>
      </c>
      <c r="F1437">
        <v>2070</v>
      </c>
      <c r="G1437">
        <v>152485.79999999999</v>
      </c>
      <c r="H1437">
        <v>700276</v>
      </c>
    </row>
    <row r="1438" spans="1:8" x14ac:dyDescent="0.25">
      <c r="A1438" t="s">
        <v>216</v>
      </c>
      <c r="B1438" t="s">
        <v>1608</v>
      </c>
      <c r="C1438">
        <v>327</v>
      </c>
      <c r="D1438">
        <v>2718135</v>
      </c>
      <c r="E1438">
        <v>2.7181350000000002</v>
      </c>
      <c r="F1438">
        <v>2011</v>
      </c>
      <c r="G1438">
        <v>8312.2999999999993</v>
      </c>
      <c r="H1438">
        <v>38685</v>
      </c>
    </row>
    <row r="1439" spans="1:8" x14ac:dyDescent="0.25">
      <c r="A1439" t="s">
        <v>217</v>
      </c>
      <c r="B1439" t="s">
        <v>1608</v>
      </c>
      <c r="C1439">
        <v>19</v>
      </c>
      <c r="D1439">
        <v>4649397</v>
      </c>
      <c r="E1439">
        <v>4.6493969999999996</v>
      </c>
      <c r="F1439">
        <v>4944</v>
      </c>
      <c r="G1439">
        <v>244705.1</v>
      </c>
      <c r="H1439">
        <v>1803156</v>
      </c>
    </row>
    <row r="1440" spans="1:8" x14ac:dyDescent="0.25">
      <c r="A1440" t="s">
        <v>218</v>
      </c>
      <c r="B1440" t="s">
        <v>1608</v>
      </c>
      <c r="C1440">
        <v>7</v>
      </c>
      <c r="D1440">
        <v>3575899</v>
      </c>
      <c r="E1440">
        <v>3.5758990000000002</v>
      </c>
      <c r="F1440">
        <v>4217</v>
      </c>
      <c r="G1440">
        <v>510842.7</v>
      </c>
      <c r="H1440">
        <v>1815985</v>
      </c>
    </row>
    <row r="1441" spans="1:8" x14ac:dyDescent="0.25">
      <c r="A1441" t="s">
        <v>219</v>
      </c>
      <c r="B1441" t="s">
        <v>1608</v>
      </c>
      <c r="C1441">
        <v>36</v>
      </c>
      <c r="D1441">
        <v>3604624</v>
      </c>
      <c r="E1441">
        <v>3.6046239999999998</v>
      </c>
      <c r="F1441">
        <v>2008</v>
      </c>
      <c r="G1441">
        <v>100128.4</v>
      </c>
      <c r="H1441">
        <v>3046229</v>
      </c>
    </row>
    <row r="1442" spans="1:8" x14ac:dyDescent="0.25">
      <c r="A1442" t="s">
        <v>622</v>
      </c>
      <c r="B1442" t="s">
        <v>1608</v>
      </c>
      <c r="C1442">
        <v>25</v>
      </c>
      <c r="D1442">
        <v>1510722</v>
      </c>
      <c r="E1442">
        <v>1.5107219999999999</v>
      </c>
      <c r="F1442">
        <v>2265</v>
      </c>
      <c r="G1442">
        <v>60428.9</v>
      </c>
      <c r="H1442">
        <v>370543</v>
      </c>
    </row>
    <row r="1443" spans="1:8" x14ac:dyDescent="0.25">
      <c r="A1443" t="s">
        <v>623</v>
      </c>
      <c r="B1443" t="s">
        <v>1608</v>
      </c>
      <c r="C1443">
        <v>38</v>
      </c>
      <c r="D1443">
        <v>1239127</v>
      </c>
      <c r="E1443">
        <v>1.2391270000000001</v>
      </c>
      <c r="F1443">
        <v>2125</v>
      </c>
      <c r="G1443">
        <v>32608.6</v>
      </c>
      <c r="H1443">
        <v>106695</v>
      </c>
    </row>
    <row r="1444" spans="1:8" x14ac:dyDescent="0.25">
      <c r="A1444" t="s">
        <v>624</v>
      </c>
      <c r="B1444" t="s">
        <v>1608</v>
      </c>
      <c r="C1444">
        <v>26</v>
      </c>
      <c r="D1444">
        <v>864222</v>
      </c>
      <c r="E1444">
        <v>0.86422200000000005</v>
      </c>
      <c r="F1444">
        <v>9061</v>
      </c>
      <c r="G1444">
        <v>33239.300000000003</v>
      </c>
      <c r="H1444">
        <v>82815</v>
      </c>
    </row>
    <row r="1445" spans="1:8" x14ac:dyDescent="0.25">
      <c r="A1445" t="s">
        <v>625</v>
      </c>
      <c r="B1445" t="s">
        <v>1608</v>
      </c>
      <c r="C1445">
        <v>19</v>
      </c>
      <c r="D1445">
        <v>1353613</v>
      </c>
      <c r="E1445">
        <v>1.353613</v>
      </c>
      <c r="F1445">
        <v>2112</v>
      </c>
      <c r="G1445">
        <v>71242.8</v>
      </c>
      <c r="H1445">
        <v>435208</v>
      </c>
    </row>
    <row r="1446" spans="1:8" x14ac:dyDescent="0.25">
      <c r="A1446" t="s">
        <v>626</v>
      </c>
      <c r="B1446" t="s">
        <v>1608</v>
      </c>
      <c r="C1446">
        <v>69</v>
      </c>
      <c r="D1446">
        <v>878929</v>
      </c>
      <c r="E1446">
        <v>0.87892899999999996</v>
      </c>
      <c r="F1446">
        <v>2027</v>
      </c>
      <c r="G1446">
        <v>12738.1</v>
      </c>
      <c r="H1446">
        <v>107036</v>
      </c>
    </row>
    <row r="1447" spans="1:8" x14ac:dyDescent="0.25">
      <c r="A1447" t="s">
        <v>627</v>
      </c>
      <c r="B1447" t="s">
        <v>1608</v>
      </c>
      <c r="C1447">
        <v>43</v>
      </c>
      <c r="D1447">
        <v>1500138</v>
      </c>
      <c r="E1447">
        <v>1.500138</v>
      </c>
      <c r="F1447">
        <v>2155</v>
      </c>
      <c r="G1447">
        <v>34886.9</v>
      </c>
      <c r="H1447">
        <v>118705</v>
      </c>
    </row>
    <row r="1448" spans="1:8" x14ac:dyDescent="0.25">
      <c r="A1448" t="s">
        <v>628</v>
      </c>
      <c r="B1448" t="s">
        <v>1608</v>
      </c>
      <c r="C1448">
        <v>25</v>
      </c>
      <c r="D1448">
        <v>1712321</v>
      </c>
      <c r="E1448">
        <v>1.712321</v>
      </c>
      <c r="F1448">
        <v>2196</v>
      </c>
      <c r="G1448">
        <v>68492.800000000003</v>
      </c>
      <c r="H1448">
        <v>200644</v>
      </c>
    </row>
    <row r="1449" spans="1:8" x14ac:dyDescent="0.25">
      <c r="A1449" t="s">
        <v>629</v>
      </c>
      <c r="B1449" t="s">
        <v>1608</v>
      </c>
      <c r="C1449">
        <v>5</v>
      </c>
      <c r="D1449">
        <v>1707003</v>
      </c>
      <c r="E1449">
        <v>1.707003</v>
      </c>
      <c r="F1449">
        <v>56448</v>
      </c>
      <c r="G1449">
        <v>341400.6</v>
      </c>
      <c r="H1449">
        <v>1158303</v>
      </c>
    </row>
    <row r="1450" spans="1:8" x14ac:dyDescent="0.25">
      <c r="A1450" t="s">
        <v>630</v>
      </c>
      <c r="B1450" t="s">
        <v>1608</v>
      </c>
      <c r="C1450">
        <v>24</v>
      </c>
      <c r="D1450">
        <v>1439364</v>
      </c>
      <c r="E1450">
        <v>1.4393640000000001</v>
      </c>
      <c r="F1450">
        <v>2000</v>
      </c>
      <c r="G1450">
        <v>59973.5</v>
      </c>
      <c r="H1450">
        <v>231948</v>
      </c>
    </row>
    <row r="1451" spans="1:8" x14ac:dyDescent="0.25">
      <c r="A1451" t="s">
        <v>631</v>
      </c>
      <c r="B1451" t="s">
        <v>1608</v>
      </c>
      <c r="C1451">
        <v>33</v>
      </c>
      <c r="D1451">
        <v>1281537</v>
      </c>
      <c r="E1451">
        <v>1.2815369999999999</v>
      </c>
      <c r="F1451">
        <v>2086</v>
      </c>
      <c r="G1451">
        <v>38834.5</v>
      </c>
      <c r="H1451">
        <v>223664</v>
      </c>
    </row>
    <row r="1452" spans="1:8" x14ac:dyDescent="0.25">
      <c r="A1452" t="s">
        <v>632</v>
      </c>
      <c r="B1452" t="s">
        <v>1608</v>
      </c>
      <c r="C1452">
        <v>22</v>
      </c>
      <c r="D1452">
        <v>2258769</v>
      </c>
      <c r="E1452">
        <v>2.258769</v>
      </c>
      <c r="F1452">
        <v>7069</v>
      </c>
      <c r="G1452">
        <v>102671.3</v>
      </c>
      <c r="H1452">
        <v>443841</v>
      </c>
    </row>
    <row r="1453" spans="1:8" x14ac:dyDescent="0.25">
      <c r="A1453" t="s">
        <v>633</v>
      </c>
      <c r="B1453" t="s">
        <v>1608</v>
      </c>
      <c r="C1453">
        <v>31</v>
      </c>
      <c r="D1453">
        <v>2110170</v>
      </c>
      <c r="E1453">
        <v>2.1101700000000001</v>
      </c>
      <c r="F1453">
        <v>2115</v>
      </c>
      <c r="G1453">
        <v>68070</v>
      </c>
      <c r="H1453">
        <v>228502</v>
      </c>
    </row>
    <row r="1454" spans="1:8" x14ac:dyDescent="0.25">
      <c r="A1454" t="s">
        <v>634</v>
      </c>
      <c r="B1454" t="s">
        <v>1608</v>
      </c>
      <c r="C1454">
        <v>29</v>
      </c>
      <c r="D1454">
        <v>1007940</v>
      </c>
      <c r="E1454">
        <v>1.0079400000000001</v>
      </c>
      <c r="F1454">
        <v>8680</v>
      </c>
      <c r="G1454">
        <v>34756.6</v>
      </c>
      <c r="H1454">
        <v>198809</v>
      </c>
    </row>
    <row r="1455" spans="1:8" x14ac:dyDescent="0.25">
      <c r="A1455" t="s">
        <v>635</v>
      </c>
      <c r="B1455" t="s">
        <v>1608</v>
      </c>
      <c r="C1455">
        <v>7</v>
      </c>
      <c r="D1455">
        <v>749763</v>
      </c>
      <c r="E1455">
        <v>0.74976299999999996</v>
      </c>
      <c r="F1455">
        <v>18028</v>
      </c>
      <c r="G1455">
        <v>107109</v>
      </c>
      <c r="H1455">
        <v>203654</v>
      </c>
    </row>
    <row r="1456" spans="1:8" x14ac:dyDescent="0.25">
      <c r="A1456" t="s">
        <v>636</v>
      </c>
      <c r="B1456" t="s">
        <v>1608</v>
      </c>
      <c r="C1456">
        <v>10</v>
      </c>
      <c r="D1456">
        <v>821326</v>
      </c>
      <c r="E1456">
        <v>0.821326</v>
      </c>
      <c r="F1456">
        <v>10957</v>
      </c>
      <c r="G1456">
        <v>82132.600000000006</v>
      </c>
      <c r="H1456">
        <v>197984</v>
      </c>
    </row>
    <row r="1457" spans="1:8" x14ac:dyDescent="0.25">
      <c r="A1457" t="s">
        <v>637</v>
      </c>
      <c r="B1457" t="s">
        <v>1608</v>
      </c>
      <c r="C1457">
        <v>20</v>
      </c>
      <c r="D1457">
        <v>665644</v>
      </c>
      <c r="E1457">
        <v>0.66564400000000001</v>
      </c>
      <c r="F1457">
        <v>2062</v>
      </c>
      <c r="G1457">
        <v>33282.199999999997</v>
      </c>
      <c r="H1457">
        <v>105822</v>
      </c>
    </row>
    <row r="1458" spans="1:8" x14ac:dyDescent="0.25">
      <c r="A1458" t="s">
        <v>638</v>
      </c>
      <c r="B1458" t="s">
        <v>1608</v>
      </c>
      <c r="C1458">
        <v>7</v>
      </c>
      <c r="D1458">
        <v>760825</v>
      </c>
      <c r="E1458">
        <v>0.76082499999999997</v>
      </c>
      <c r="F1458">
        <v>9294</v>
      </c>
      <c r="G1458">
        <v>108689.3</v>
      </c>
      <c r="H1458">
        <v>264310</v>
      </c>
    </row>
    <row r="1459" spans="1:8" x14ac:dyDescent="0.25">
      <c r="A1459" t="s">
        <v>639</v>
      </c>
      <c r="B1459" t="s">
        <v>1608</v>
      </c>
      <c r="C1459">
        <v>4</v>
      </c>
      <c r="D1459">
        <v>1014768</v>
      </c>
      <c r="E1459">
        <v>1.0147679999999999</v>
      </c>
      <c r="F1459">
        <v>2081</v>
      </c>
      <c r="G1459">
        <v>253692</v>
      </c>
      <c r="H1459">
        <v>1007233</v>
      </c>
    </row>
    <row r="1460" spans="1:8" x14ac:dyDescent="0.25">
      <c r="A1460" t="s">
        <v>640</v>
      </c>
      <c r="B1460" t="s">
        <v>1608</v>
      </c>
      <c r="C1460">
        <v>82</v>
      </c>
      <c r="D1460">
        <v>882668</v>
      </c>
      <c r="E1460">
        <v>0.88266800000000001</v>
      </c>
      <c r="F1460">
        <v>2016</v>
      </c>
      <c r="G1460">
        <v>10764.2</v>
      </c>
      <c r="H1460">
        <v>128815</v>
      </c>
    </row>
    <row r="1461" spans="1:8" x14ac:dyDescent="0.25">
      <c r="A1461" t="s">
        <v>641</v>
      </c>
      <c r="B1461" t="s">
        <v>1608</v>
      </c>
      <c r="C1461">
        <v>12</v>
      </c>
      <c r="D1461">
        <v>753061</v>
      </c>
      <c r="E1461">
        <v>0.75306099999999998</v>
      </c>
      <c r="F1461">
        <v>5249</v>
      </c>
      <c r="G1461">
        <v>62755.1</v>
      </c>
      <c r="H1461">
        <v>199507</v>
      </c>
    </row>
    <row r="1462" spans="1:8" x14ac:dyDescent="0.25">
      <c r="A1462" t="s">
        <v>642</v>
      </c>
      <c r="B1462" t="s">
        <v>1608</v>
      </c>
      <c r="C1462">
        <v>24</v>
      </c>
      <c r="D1462">
        <v>1408002</v>
      </c>
      <c r="E1462">
        <v>1.408002</v>
      </c>
      <c r="F1462">
        <v>3527</v>
      </c>
      <c r="G1462">
        <v>58666.8</v>
      </c>
      <c r="H1462">
        <v>294382</v>
      </c>
    </row>
    <row r="1463" spans="1:8" x14ac:dyDescent="0.25">
      <c r="A1463" t="s">
        <v>643</v>
      </c>
      <c r="B1463" t="s">
        <v>1608</v>
      </c>
      <c r="C1463">
        <v>554</v>
      </c>
      <c r="D1463">
        <v>3526879</v>
      </c>
      <c r="E1463">
        <v>3.5268790000000001</v>
      </c>
      <c r="F1463">
        <v>2000</v>
      </c>
      <c r="G1463">
        <v>6366.2</v>
      </c>
      <c r="H1463">
        <v>39959</v>
      </c>
    </row>
    <row r="1464" spans="1:8" x14ac:dyDescent="0.25">
      <c r="A1464" t="s">
        <v>644</v>
      </c>
      <c r="B1464" t="s">
        <v>1608</v>
      </c>
      <c r="C1464">
        <v>271</v>
      </c>
      <c r="D1464">
        <v>1308752</v>
      </c>
      <c r="E1464">
        <v>1.3087519999999999</v>
      </c>
      <c r="F1464">
        <v>2010</v>
      </c>
      <c r="G1464">
        <v>4829.3</v>
      </c>
      <c r="H1464">
        <v>58721</v>
      </c>
    </row>
    <row r="1465" spans="1:8" x14ac:dyDescent="0.25">
      <c r="A1465" t="s">
        <v>645</v>
      </c>
      <c r="B1465" t="s">
        <v>1608</v>
      </c>
      <c r="C1465">
        <v>20</v>
      </c>
      <c r="D1465">
        <v>2271525</v>
      </c>
      <c r="E1465">
        <v>2.271525</v>
      </c>
      <c r="F1465">
        <v>2760</v>
      </c>
      <c r="G1465">
        <v>113576.3</v>
      </c>
      <c r="H1465">
        <v>471294</v>
      </c>
    </row>
    <row r="1466" spans="1:8" x14ac:dyDescent="0.25">
      <c r="A1466" t="s">
        <v>646</v>
      </c>
      <c r="B1466" t="s">
        <v>1608</v>
      </c>
      <c r="C1466">
        <v>268</v>
      </c>
      <c r="D1466">
        <v>2367210</v>
      </c>
      <c r="E1466">
        <v>2.36721</v>
      </c>
      <c r="F1466">
        <v>2555</v>
      </c>
      <c r="G1466">
        <v>8832.9</v>
      </c>
      <c r="H1466">
        <v>52647</v>
      </c>
    </row>
    <row r="1467" spans="1:8" x14ac:dyDescent="0.25">
      <c r="A1467" t="s">
        <v>647</v>
      </c>
      <c r="B1467" t="s">
        <v>1608</v>
      </c>
      <c r="C1467">
        <v>14</v>
      </c>
      <c r="D1467">
        <v>1739632</v>
      </c>
      <c r="E1467">
        <v>1.7396320000000001</v>
      </c>
      <c r="F1467">
        <v>2172</v>
      </c>
      <c r="G1467">
        <v>124259.4</v>
      </c>
      <c r="H1467">
        <v>1615430</v>
      </c>
    </row>
    <row r="1468" spans="1:8" x14ac:dyDescent="0.25">
      <c r="A1468" t="s">
        <v>648</v>
      </c>
      <c r="B1468" t="s">
        <v>1608</v>
      </c>
      <c r="C1468">
        <v>2</v>
      </c>
      <c r="D1468">
        <v>1020230</v>
      </c>
      <c r="E1468">
        <v>1.02023</v>
      </c>
      <c r="F1468">
        <v>322087</v>
      </c>
      <c r="G1468">
        <v>510115</v>
      </c>
      <c r="H1468">
        <v>698143</v>
      </c>
    </row>
    <row r="1469" spans="1:8" x14ac:dyDescent="0.25">
      <c r="A1469" t="s">
        <v>649</v>
      </c>
      <c r="B1469" t="s">
        <v>1608</v>
      </c>
      <c r="C1469">
        <v>1</v>
      </c>
      <c r="D1469">
        <v>790450</v>
      </c>
      <c r="E1469">
        <v>0.79044999999999999</v>
      </c>
      <c r="F1469">
        <v>790450</v>
      </c>
      <c r="G1469">
        <v>790450</v>
      </c>
      <c r="H1469">
        <v>790450</v>
      </c>
    </row>
    <row r="1470" spans="1:8" x14ac:dyDescent="0.25">
      <c r="A1470" t="s">
        <v>650</v>
      </c>
      <c r="B1470" t="s">
        <v>1608</v>
      </c>
      <c r="C1470">
        <v>345</v>
      </c>
      <c r="D1470">
        <v>2768334</v>
      </c>
      <c r="E1470">
        <v>2.7683339999999999</v>
      </c>
      <c r="F1470">
        <v>2012</v>
      </c>
      <c r="G1470">
        <v>8024.2</v>
      </c>
      <c r="H1470">
        <v>54410</v>
      </c>
    </row>
    <row r="1471" spans="1:8" x14ac:dyDescent="0.25">
      <c r="A1471" t="s">
        <v>651</v>
      </c>
      <c r="B1471" t="s">
        <v>1608</v>
      </c>
      <c r="C1471">
        <v>123</v>
      </c>
      <c r="D1471">
        <v>3641929</v>
      </c>
      <c r="E1471">
        <v>3.6419290000000002</v>
      </c>
      <c r="F1471">
        <v>2005</v>
      </c>
      <c r="G1471">
        <v>29609.200000000001</v>
      </c>
      <c r="H1471">
        <v>346135</v>
      </c>
    </row>
    <row r="1472" spans="1:8" x14ac:dyDescent="0.25">
      <c r="A1472" t="s">
        <v>652</v>
      </c>
      <c r="B1472" t="s">
        <v>1608</v>
      </c>
      <c r="C1472">
        <v>1037</v>
      </c>
      <c r="D1472">
        <v>4312093</v>
      </c>
      <c r="E1472">
        <v>4.312093</v>
      </c>
      <c r="F1472">
        <v>2005</v>
      </c>
      <c r="G1472">
        <v>4158.2</v>
      </c>
      <c r="H1472">
        <v>33582</v>
      </c>
    </row>
    <row r="1473" spans="1:8" x14ac:dyDescent="0.25">
      <c r="A1473" t="s">
        <v>1057</v>
      </c>
      <c r="B1473" t="s">
        <v>1608</v>
      </c>
      <c r="C1473">
        <v>13</v>
      </c>
      <c r="D1473">
        <v>816522</v>
      </c>
      <c r="E1473">
        <v>0.81652199999999997</v>
      </c>
      <c r="F1473">
        <v>3843</v>
      </c>
      <c r="G1473">
        <v>62809.4</v>
      </c>
      <c r="H1473">
        <v>166205</v>
      </c>
    </row>
    <row r="1474" spans="1:8" x14ac:dyDescent="0.25">
      <c r="A1474" t="s">
        <v>1058</v>
      </c>
      <c r="B1474" t="s">
        <v>1608</v>
      </c>
      <c r="C1474">
        <v>11</v>
      </c>
      <c r="D1474">
        <v>601145</v>
      </c>
      <c r="E1474">
        <v>0.60114500000000004</v>
      </c>
      <c r="F1474">
        <v>2605</v>
      </c>
      <c r="G1474">
        <v>54649.5</v>
      </c>
      <c r="H1474">
        <v>264753</v>
      </c>
    </row>
    <row r="1475" spans="1:8" x14ac:dyDescent="0.25">
      <c r="A1475" t="s">
        <v>1059</v>
      </c>
      <c r="B1475" t="s">
        <v>1608</v>
      </c>
      <c r="C1475">
        <v>1</v>
      </c>
      <c r="D1475">
        <v>1089248</v>
      </c>
      <c r="E1475">
        <v>1.089248</v>
      </c>
      <c r="F1475">
        <v>1089248</v>
      </c>
      <c r="G1475">
        <v>1089248</v>
      </c>
      <c r="H1475">
        <v>1089248</v>
      </c>
    </row>
    <row r="1476" spans="1:8" x14ac:dyDescent="0.25">
      <c r="A1476" t="s">
        <v>1060</v>
      </c>
      <c r="B1476" t="s">
        <v>1608</v>
      </c>
      <c r="C1476">
        <v>27</v>
      </c>
      <c r="D1476">
        <v>668335</v>
      </c>
      <c r="E1476">
        <v>0.66833500000000001</v>
      </c>
      <c r="F1476">
        <v>4379</v>
      </c>
      <c r="G1476">
        <v>24753.1</v>
      </c>
      <c r="H1476">
        <v>112632</v>
      </c>
    </row>
    <row r="1477" spans="1:8" x14ac:dyDescent="0.25">
      <c r="A1477" t="s">
        <v>1061</v>
      </c>
      <c r="B1477" t="s">
        <v>1608</v>
      </c>
      <c r="C1477">
        <v>18</v>
      </c>
      <c r="D1477">
        <v>968613</v>
      </c>
      <c r="E1477">
        <v>0.96861299999999995</v>
      </c>
      <c r="F1477">
        <v>5849</v>
      </c>
      <c r="G1477">
        <v>53811.8</v>
      </c>
      <c r="H1477">
        <v>216193</v>
      </c>
    </row>
    <row r="1478" spans="1:8" x14ac:dyDescent="0.25">
      <c r="A1478" t="s">
        <v>1062</v>
      </c>
      <c r="B1478" t="s">
        <v>1608</v>
      </c>
      <c r="C1478">
        <v>13</v>
      </c>
      <c r="D1478">
        <v>849167</v>
      </c>
      <c r="E1478">
        <v>0.84916700000000001</v>
      </c>
      <c r="F1478">
        <v>2146</v>
      </c>
      <c r="G1478">
        <v>65320.5</v>
      </c>
      <c r="H1478">
        <v>196588</v>
      </c>
    </row>
    <row r="1479" spans="1:8" x14ac:dyDescent="0.25">
      <c r="A1479" t="s">
        <v>1063</v>
      </c>
      <c r="B1479" t="s">
        <v>1608</v>
      </c>
      <c r="C1479">
        <v>347</v>
      </c>
      <c r="D1479">
        <v>1808597</v>
      </c>
      <c r="E1479">
        <v>1.808597</v>
      </c>
      <c r="F1479">
        <v>2008</v>
      </c>
      <c r="G1479">
        <v>5212.1000000000004</v>
      </c>
      <c r="H1479">
        <v>26176</v>
      </c>
    </row>
    <row r="1480" spans="1:8" x14ac:dyDescent="0.25">
      <c r="A1480" t="s">
        <v>1064</v>
      </c>
      <c r="B1480" t="s">
        <v>1608</v>
      </c>
      <c r="C1480">
        <v>153</v>
      </c>
      <c r="D1480">
        <v>1834032</v>
      </c>
      <c r="E1480">
        <v>1.8340320000000001</v>
      </c>
      <c r="F1480">
        <v>2533</v>
      </c>
      <c r="G1480">
        <v>11987.1</v>
      </c>
      <c r="H1480">
        <v>100303</v>
      </c>
    </row>
    <row r="1481" spans="1:8" x14ac:dyDescent="0.25">
      <c r="A1481" t="s">
        <v>1065</v>
      </c>
      <c r="B1481" t="s">
        <v>1608</v>
      </c>
      <c r="C1481">
        <v>174</v>
      </c>
      <c r="D1481">
        <v>2354672</v>
      </c>
      <c r="E1481">
        <v>2.3546719999999999</v>
      </c>
      <c r="F1481">
        <v>2529</v>
      </c>
      <c r="G1481">
        <v>13532.6</v>
      </c>
      <c r="H1481">
        <v>78267</v>
      </c>
    </row>
    <row r="1482" spans="1:8" x14ac:dyDescent="0.25">
      <c r="A1482" t="s">
        <v>1066</v>
      </c>
      <c r="B1482" t="s">
        <v>1608</v>
      </c>
      <c r="C1482">
        <v>10</v>
      </c>
      <c r="D1482">
        <v>1632689</v>
      </c>
      <c r="E1482">
        <v>1.6326890000000001</v>
      </c>
      <c r="F1482">
        <v>19025</v>
      </c>
      <c r="G1482">
        <v>163268.9</v>
      </c>
      <c r="H1482">
        <v>531946</v>
      </c>
    </row>
    <row r="1483" spans="1:8" x14ac:dyDescent="0.25">
      <c r="A1483" t="s">
        <v>1067</v>
      </c>
      <c r="B1483" t="s">
        <v>1608</v>
      </c>
      <c r="C1483">
        <v>6</v>
      </c>
      <c r="D1483">
        <v>2379120</v>
      </c>
      <c r="E1483">
        <v>2.3791199999999999</v>
      </c>
      <c r="F1483">
        <v>114520</v>
      </c>
      <c r="G1483">
        <v>396520</v>
      </c>
      <c r="H1483">
        <v>662156</v>
      </c>
    </row>
    <row r="1484" spans="1:8" x14ac:dyDescent="0.25">
      <c r="A1484" t="s">
        <v>1068</v>
      </c>
      <c r="B1484" t="s">
        <v>1608</v>
      </c>
      <c r="C1484">
        <v>153</v>
      </c>
      <c r="D1484">
        <v>2516281</v>
      </c>
      <c r="E1484">
        <v>2.5162810000000002</v>
      </c>
      <c r="F1484">
        <v>2003</v>
      </c>
      <c r="G1484">
        <v>16446.3</v>
      </c>
      <c r="H1484">
        <v>338994</v>
      </c>
    </row>
    <row r="1485" spans="1:8" x14ac:dyDescent="0.25">
      <c r="A1485" t="s">
        <v>1069</v>
      </c>
      <c r="B1485" t="s">
        <v>1608</v>
      </c>
      <c r="C1485">
        <v>26</v>
      </c>
      <c r="D1485">
        <v>5186271</v>
      </c>
      <c r="E1485">
        <v>5.1862709999999996</v>
      </c>
      <c r="F1485">
        <v>3510</v>
      </c>
      <c r="G1485">
        <v>199472</v>
      </c>
      <c r="H1485">
        <v>986505</v>
      </c>
    </row>
    <row r="1486" spans="1:8" x14ac:dyDescent="0.25">
      <c r="A1486" t="s">
        <v>1070</v>
      </c>
      <c r="B1486" t="s">
        <v>1608</v>
      </c>
      <c r="C1486">
        <v>9</v>
      </c>
      <c r="D1486">
        <v>1909005</v>
      </c>
      <c r="E1486">
        <v>1.9090050000000001</v>
      </c>
      <c r="F1486">
        <v>25584</v>
      </c>
      <c r="G1486">
        <v>212111.7</v>
      </c>
      <c r="H1486">
        <v>655515</v>
      </c>
    </row>
    <row r="1487" spans="1:8" x14ac:dyDescent="0.25">
      <c r="A1487" t="s">
        <v>1071</v>
      </c>
      <c r="B1487" t="s">
        <v>1608</v>
      </c>
      <c r="C1487">
        <v>4</v>
      </c>
      <c r="D1487">
        <v>3670942</v>
      </c>
      <c r="E1487">
        <v>3.6709420000000001</v>
      </c>
      <c r="F1487">
        <v>194350</v>
      </c>
      <c r="G1487">
        <v>917735.5</v>
      </c>
      <c r="H1487">
        <v>1813145</v>
      </c>
    </row>
    <row r="1488" spans="1:8" x14ac:dyDescent="0.25">
      <c r="A1488" t="s">
        <v>1072</v>
      </c>
      <c r="B1488" t="s">
        <v>1608</v>
      </c>
      <c r="C1488">
        <v>5</v>
      </c>
      <c r="D1488">
        <v>6367992</v>
      </c>
      <c r="E1488">
        <v>6.3679920000000001</v>
      </c>
      <c r="F1488">
        <v>6556</v>
      </c>
      <c r="G1488">
        <v>1273598.3999999999</v>
      </c>
      <c r="H1488">
        <v>4138241</v>
      </c>
    </row>
    <row r="1489" spans="1:8" x14ac:dyDescent="0.25">
      <c r="A1489" t="s">
        <v>1073</v>
      </c>
      <c r="B1489" t="s">
        <v>1608</v>
      </c>
      <c r="C1489">
        <v>11</v>
      </c>
      <c r="D1489">
        <v>6868700</v>
      </c>
      <c r="E1489">
        <v>6.8686999999999996</v>
      </c>
      <c r="F1489">
        <v>34299</v>
      </c>
      <c r="G1489">
        <v>624427.30000000005</v>
      </c>
      <c r="H1489">
        <v>2728051</v>
      </c>
    </row>
    <row r="1490" spans="1:8" x14ac:dyDescent="0.25">
      <c r="A1490" t="s">
        <v>1541</v>
      </c>
      <c r="B1490" t="s">
        <v>1608</v>
      </c>
      <c r="C1490">
        <v>13</v>
      </c>
      <c r="D1490">
        <v>1451855</v>
      </c>
      <c r="E1490">
        <v>1.4518549999999999</v>
      </c>
      <c r="F1490">
        <v>18588</v>
      </c>
      <c r="G1490">
        <v>111681.2</v>
      </c>
      <c r="H1490">
        <v>302993</v>
      </c>
    </row>
    <row r="1491" spans="1:8" x14ac:dyDescent="0.25">
      <c r="A1491" t="s">
        <v>1542</v>
      </c>
      <c r="B1491" t="s">
        <v>1608</v>
      </c>
      <c r="C1491">
        <v>107</v>
      </c>
      <c r="D1491">
        <v>1709044</v>
      </c>
      <c r="E1491">
        <v>1.709044</v>
      </c>
      <c r="F1491">
        <v>2031</v>
      </c>
      <c r="G1491">
        <v>15972.4</v>
      </c>
      <c r="H1491">
        <v>147052</v>
      </c>
    </row>
    <row r="1492" spans="1:8" x14ac:dyDescent="0.25">
      <c r="A1492" t="s">
        <v>1543</v>
      </c>
      <c r="B1492" t="s">
        <v>1608</v>
      </c>
      <c r="C1492">
        <v>23</v>
      </c>
      <c r="D1492">
        <v>1915240</v>
      </c>
      <c r="E1492">
        <v>1.9152400000000001</v>
      </c>
      <c r="F1492">
        <v>4196</v>
      </c>
      <c r="G1492">
        <v>83271.3</v>
      </c>
      <c r="H1492">
        <v>383591</v>
      </c>
    </row>
    <row r="1493" spans="1:8" x14ac:dyDescent="0.25">
      <c r="A1493" t="s">
        <v>1544</v>
      </c>
      <c r="B1493" t="s">
        <v>1608</v>
      </c>
      <c r="C1493">
        <v>18</v>
      </c>
      <c r="D1493">
        <v>1353049</v>
      </c>
      <c r="E1493">
        <v>1.3530489999999999</v>
      </c>
      <c r="F1493">
        <v>9570</v>
      </c>
      <c r="G1493">
        <v>75169.399999999994</v>
      </c>
      <c r="H1493">
        <v>297952</v>
      </c>
    </row>
    <row r="1494" spans="1:8" x14ac:dyDescent="0.25">
      <c r="A1494" t="s">
        <v>1545</v>
      </c>
      <c r="B1494" t="s">
        <v>1608</v>
      </c>
      <c r="C1494">
        <v>5</v>
      </c>
      <c r="D1494">
        <v>1612817</v>
      </c>
      <c r="E1494">
        <v>1.6128169999999999</v>
      </c>
      <c r="F1494">
        <v>2458</v>
      </c>
      <c r="G1494">
        <v>322563.40000000002</v>
      </c>
      <c r="H1494">
        <v>835008</v>
      </c>
    </row>
    <row r="1495" spans="1:8" x14ac:dyDescent="0.25">
      <c r="A1495" t="s">
        <v>1546</v>
      </c>
      <c r="B1495" t="s">
        <v>1608</v>
      </c>
      <c r="C1495">
        <v>1</v>
      </c>
      <c r="D1495">
        <v>1418545</v>
      </c>
      <c r="E1495">
        <v>1.4185449999999999</v>
      </c>
      <c r="F1495">
        <v>1418545</v>
      </c>
      <c r="G1495">
        <v>1418545</v>
      </c>
      <c r="H1495">
        <v>1418545</v>
      </c>
    </row>
    <row r="1496" spans="1:8" x14ac:dyDescent="0.25">
      <c r="A1496" t="s">
        <v>1547</v>
      </c>
      <c r="B1496" t="s">
        <v>1608</v>
      </c>
      <c r="C1496">
        <v>1</v>
      </c>
      <c r="D1496">
        <v>1830886</v>
      </c>
      <c r="E1496">
        <v>1.830886</v>
      </c>
      <c r="F1496">
        <v>1830886</v>
      </c>
      <c r="G1496">
        <v>1830886</v>
      </c>
      <c r="H1496">
        <v>1830886</v>
      </c>
    </row>
    <row r="1497" spans="1:8" x14ac:dyDescent="0.25">
      <c r="A1497" t="s">
        <v>1548</v>
      </c>
      <c r="B1497" t="s">
        <v>1608</v>
      </c>
      <c r="C1497">
        <v>1</v>
      </c>
      <c r="D1497">
        <v>1748561</v>
      </c>
      <c r="E1497">
        <v>1.748561</v>
      </c>
      <c r="F1497">
        <v>1748561</v>
      </c>
      <c r="G1497">
        <v>1748561</v>
      </c>
      <c r="H1497">
        <v>1748561</v>
      </c>
    </row>
    <row r="1498" spans="1:8" x14ac:dyDescent="0.25">
      <c r="A1498" t="s">
        <v>1549</v>
      </c>
      <c r="B1498" t="s">
        <v>1608</v>
      </c>
      <c r="C1498">
        <v>1</v>
      </c>
      <c r="D1498">
        <v>1749484</v>
      </c>
      <c r="E1498">
        <v>1.749484</v>
      </c>
      <c r="F1498">
        <v>1749484</v>
      </c>
      <c r="G1498">
        <v>1749484</v>
      </c>
      <c r="H1498">
        <v>1749484</v>
      </c>
    </row>
    <row r="1499" spans="1:8" x14ac:dyDescent="0.25">
      <c r="A1499" t="s">
        <v>1550</v>
      </c>
      <c r="B1499" t="s">
        <v>1608</v>
      </c>
      <c r="C1499">
        <v>5</v>
      </c>
      <c r="D1499">
        <v>2003910</v>
      </c>
      <c r="E1499">
        <v>2.0039099999999999</v>
      </c>
      <c r="F1499">
        <v>19722</v>
      </c>
      <c r="G1499">
        <v>400782</v>
      </c>
      <c r="H1499">
        <v>1237712</v>
      </c>
    </row>
    <row r="1500" spans="1:8" x14ac:dyDescent="0.25">
      <c r="A1500" t="s">
        <v>1551</v>
      </c>
      <c r="B1500" t="s">
        <v>1608</v>
      </c>
      <c r="C1500">
        <v>1</v>
      </c>
      <c r="D1500">
        <v>1967458</v>
      </c>
      <c r="E1500">
        <v>1.9674579999999999</v>
      </c>
      <c r="F1500">
        <v>1967458</v>
      </c>
      <c r="G1500">
        <v>1967458</v>
      </c>
      <c r="H1500">
        <v>1967458</v>
      </c>
    </row>
    <row r="1501" spans="1:8" x14ac:dyDescent="0.25">
      <c r="A1501" t="s">
        <v>1552</v>
      </c>
      <c r="B1501" t="s">
        <v>1608</v>
      </c>
      <c r="C1501">
        <v>1</v>
      </c>
      <c r="D1501">
        <v>2312247</v>
      </c>
      <c r="E1501">
        <v>2.3122470000000002</v>
      </c>
      <c r="F1501">
        <v>2312247</v>
      </c>
      <c r="G1501">
        <v>2312247</v>
      </c>
      <c r="H1501">
        <v>2312247</v>
      </c>
    </row>
    <row r="1502" spans="1:8" x14ac:dyDescent="0.25">
      <c r="A1502" t="s">
        <v>1553</v>
      </c>
      <c r="B1502" t="s">
        <v>1608</v>
      </c>
      <c r="C1502">
        <v>3</v>
      </c>
      <c r="D1502">
        <v>1820784</v>
      </c>
      <c r="E1502">
        <v>1.820784</v>
      </c>
      <c r="F1502">
        <v>2119</v>
      </c>
      <c r="G1502">
        <v>606928</v>
      </c>
      <c r="H1502">
        <v>1426750</v>
      </c>
    </row>
    <row r="1503" spans="1:8" x14ac:dyDescent="0.25">
      <c r="A1503" t="s">
        <v>1554</v>
      </c>
      <c r="B1503" t="s">
        <v>1608</v>
      </c>
      <c r="C1503">
        <v>2</v>
      </c>
      <c r="D1503">
        <v>953424</v>
      </c>
      <c r="E1503">
        <v>0.95342400000000005</v>
      </c>
      <c r="F1503">
        <v>37865</v>
      </c>
      <c r="G1503">
        <v>476712</v>
      </c>
      <c r="H1503">
        <v>915559</v>
      </c>
    </row>
    <row r="1504" spans="1:8" x14ac:dyDescent="0.25">
      <c r="A1504" t="s">
        <v>1555</v>
      </c>
      <c r="B1504" t="s">
        <v>1608</v>
      </c>
      <c r="C1504">
        <v>8</v>
      </c>
      <c r="D1504">
        <v>769845</v>
      </c>
      <c r="E1504">
        <v>0.769845</v>
      </c>
      <c r="F1504">
        <v>8114</v>
      </c>
      <c r="G1504">
        <v>96230.6</v>
      </c>
      <c r="H1504">
        <v>373915</v>
      </c>
    </row>
    <row r="1505" spans="1:8" x14ac:dyDescent="0.25">
      <c r="A1505" t="s">
        <v>1556</v>
      </c>
      <c r="B1505" t="s">
        <v>1608</v>
      </c>
      <c r="C1505">
        <v>15</v>
      </c>
      <c r="D1505">
        <v>711717</v>
      </c>
      <c r="E1505">
        <v>0.71171700000000004</v>
      </c>
      <c r="F1505">
        <v>3697</v>
      </c>
      <c r="G1505">
        <v>47447.8</v>
      </c>
      <c r="H1505">
        <v>192377</v>
      </c>
    </row>
    <row r="1506" spans="1:8" x14ac:dyDescent="0.25">
      <c r="A1506" t="s">
        <v>1557</v>
      </c>
      <c r="B1506" t="s">
        <v>1608</v>
      </c>
      <c r="C1506">
        <v>3</v>
      </c>
      <c r="D1506">
        <v>1028764</v>
      </c>
      <c r="E1506">
        <v>1.028764</v>
      </c>
      <c r="F1506">
        <v>61007</v>
      </c>
      <c r="G1506">
        <v>342921.3</v>
      </c>
      <c r="H1506">
        <v>574826</v>
      </c>
    </row>
    <row r="1507" spans="1:8" x14ac:dyDescent="0.25">
      <c r="A1507" t="s">
        <v>1558</v>
      </c>
      <c r="B1507" t="s">
        <v>1608</v>
      </c>
      <c r="C1507">
        <v>4</v>
      </c>
      <c r="D1507">
        <v>991813</v>
      </c>
      <c r="E1507">
        <v>0.99181299999999994</v>
      </c>
      <c r="F1507">
        <v>7267</v>
      </c>
      <c r="G1507">
        <v>247953.3</v>
      </c>
      <c r="H1507">
        <v>878470</v>
      </c>
    </row>
    <row r="1508" spans="1:8" x14ac:dyDescent="0.25">
      <c r="A1508" t="s">
        <v>1559</v>
      </c>
      <c r="B1508" t="s">
        <v>1608</v>
      </c>
      <c r="C1508">
        <v>1</v>
      </c>
      <c r="D1508">
        <v>1106286</v>
      </c>
      <c r="E1508">
        <v>1.1062860000000001</v>
      </c>
      <c r="F1508">
        <v>1106286</v>
      </c>
      <c r="G1508">
        <v>1106286</v>
      </c>
      <c r="H1508">
        <v>1106286</v>
      </c>
    </row>
    <row r="1509" spans="1:8" x14ac:dyDescent="0.25">
      <c r="A1509" t="s">
        <v>1560</v>
      </c>
      <c r="B1509" t="s">
        <v>1608</v>
      </c>
      <c r="C1509">
        <v>4</v>
      </c>
      <c r="D1509">
        <v>999305</v>
      </c>
      <c r="E1509">
        <v>0.999305</v>
      </c>
      <c r="F1509">
        <v>2124</v>
      </c>
      <c r="G1509">
        <v>249826.3</v>
      </c>
      <c r="H1509">
        <v>981419</v>
      </c>
    </row>
    <row r="1510" spans="1:8" x14ac:dyDescent="0.25">
      <c r="A1510" t="s">
        <v>1561</v>
      </c>
      <c r="B1510" t="s">
        <v>1608</v>
      </c>
      <c r="C1510">
        <v>43</v>
      </c>
      <c r="D1510">
        <v>2061786</v>
      </c>
      <c r="E1510">
        <v>2.0617860000000001</v>
      </c>
      <c r="F1510">
        <v>2372</v>
      </c>
      <c r="G1510">
        <v>47948.5</v>
      </c>
      <c r="H1510">
        <v>428174</v>
      </c>
    </row>
    <row r="1511" spans="1:8" x14ac:dyDescent="0.25">
      <c r="A1511" t="s">
        <v>1562</v>
      </c>
      <c r="B1511" t="s">
        <v>1608</v>
      </c>
      <c r="C1511">
        <v>29</v>
      </c>
      <c r="D1511">
        <v>1635975</v>
      </c>
      <c r="E1511">
        <v>1.635975</v>
      </c>
      <c r="F1511">
        <v>2250</v>
      </c>
      <c r="G1511">
        <v>56412.9</v>
      </c>
      <c r="H1511">
        <v>184506</v>
      </c>
    </row>
    <row r="1512" spans="1:8" x14ac:dyDescent="0.25">
      <c r="A1512" t="s">
        <v>1563</v>
      </c>
      <c r="B1512" t="s">
        <v>1608</v>
      </c>
      <c r="C1512">
        <v>330</v>
      </c>
      <c r="D1512">
        <v>3058820</v>
      </c>
      <c r="E1512">
        <v>3.0588199999999999</v>
      </c>
      <c r="F1512">
        <v>2018</v>
      </c>
      <c r="G1512">
        <v>9269.2000000000007</v>
      </c>
      <c r="H1512">
        <v>68459</v>
      </c>
    </row>
    <row r="1513" spans="1:8" x14ac:dyDescent="0.25">
      <c r="A1513" t="s">
        <v>1564</v>
      </c>
      <c r="B1513" t="s">
        <v>1608</v>
      </c>
      <c r="C1513">
        <v>3</v>
      </c>
      <c r="D1513">
        <v>3994976</v>
      </c>
      <c r="E1513">
        <v>3.9949759999999999</v>
      </c>
      <c r="F1513">
        <v>7766</v>
      </c>
      <c r="G1513">
        <v>1331658.7</v>
      </c>
      <c r="H1513">
        <v>3978870</v>
      </c>
    </row>
    <row r="1514" spans="1:8" x14ac:dyDescent="0.25">
      <c r="A1514" t="s">
        <v>1565</v>
      </c>
      <c r="B1514" t="s">
        <v>1608</v>
      </c>
      <c r="C1514">
        <v>5</v>
      </c>
      <c r="D1514">
        <v>3317400</v>
      </c>
      <c r="E1514">
        <v>3.3174000000000001</v>
      </c>
      <c r="F1514">
        <v>2167</v>
      </c>
      <c r="G1514">
        <v>663480</v>
      </c>
      <c r="H1514">
        <v>3256553</v>
      </c>
    </row>
    <row r="1515" spans="1:8" x14ac:dyDescent="0.25">
      <c r="A1515" t="s">
        <v>1566</v>
      </c>
      <c r="B1515" t="s">
        <v>1608</v>
      </c>
      <c r="C1515">
        <v>8</v>
      </c>
      <c r="D1515">
        <v>5184375</v>
      </c>
      <c r="E1515">
        <v>5.1843750000000002</v>
      </c>
      <c r="F1515">
        <v>45378</v>
      </c>
      <c r="G1515">
        <v>648046.9</v>
      </c>
      <c r="H1515">
        <v>1862208</v>
      </c>
    </row>
    <row r="1516" spans="1:8" x14ac:dyDescent="0.25">
      <c r="A1516" t="s">
        <v>1567</v>
      </c>
      <c r="B1516" t="s">
        <v>1608</v>
      </c>
      <c r="C1516">
        <v>89</v>
      </c>
      <c r="D1516">
        <v>4497921</v>
      </c>
      <c r="E1516">
        <v>4.4979209999999998</v>
      </c>
      <c r="F1516">
        <v>2121</v>
      </c>
      <c r="G1516">
        <v>50538.400000000001</v>
      </c>
      <c r="H1516">
        <v>308310</v>
      </c>
    </row>
    <row r="1517" spans="1:8" x14ac:dyDescent="0.25">
      <c r="A1517" t="s">
        <v>1568</v>
      </c>
      <c r="B1517" t="s">
        <v>1608</v>
      </c>
      <c r="C1517">
        <v>127</v>
      </c>
      <c r="D1517">
        <v>3390635</v>
      </c>
      <c r="E1517">
        <v>3.3906350000000001</v>
      </c>
      <c r="F1517">
        <v>2001</v>
      </c>
      <c r="G1517">
        <v>26697.9</v>
      </c>
      <c r="H1517">
        <v>207806</v>
      </c>
    </row>
    <row r="1518" spans="1:8" x14ac:dyDescent="0.25">
      <c r="A1518" t="s">
        <v>653</v>
      </c>
      <c r="B1518" t="s">
        <v>1609</v>
      </c>
      <c r="C1518">
        <v>17</v>
      </c>
      <c r="D1518">
        <v>3688543</v>
      </c>
      <c r="E1518">
        <v>3.6885430000000001</v>
      </c>
      <c r="F1518">
        <v>2008</v>
      </c>
      <c r="G1518">
        <v>216973.1</v>
      </c>
      <c r="H1518">
        <v>636132</v>
      </c>
    </row>
    <row r="1519" spans="1:8" x14ac:dyDescent="0.25">
      <c r="A1519" t="s">
        <v>1074</v>
      </c>
      <c r="B1519" t="s">
        <v>1609</v>
      </c>
      <c r="C1519">
        <v>29</v>
      </c>
      <c r="D1519">
        <v>3657647</v>
      </c>
      <c r="E1519">
        <v>3.6576469999999999</v>
      </c>
      <c r="F1519">
        <v>2378</v>
      </c>
      <c r="G1519">
        <v>126125.8</v>
      </c>
      <c r="H1519">
        <v>885287</v>
      </c>
    </row>
    <row r="1520" spans="1:8" x14ac:dyDescent="0.25">
      <c r="A1520" t="s">
        <v>654</v>
      </c>
      <c r="B1520" t="s">
        <v>1610</v>
      </c>
      <c r="C1520">
        <v>124</v>
      </c>
      <c r="D1520">
        <v>2088825</v>
      </c>
      <c r="E1520">
        <v>2.0888249999999999</v>
      </c>
      <c r="F1520">
        <v>2004</v>
      </c>
      <c r="G1520">
        <v>16845.400000000001</v>
      </c>
      <c r="H1520">
        <v>113730</v>
      </c>
    </row>
    <row r="1521" spans="1:8" x14ac:dyDescent="0.25">
      <c r="A1521" t="s">
        <v>655</v>
      </c>
      <c r="B1521" t="s">
        <v>1610</v>
      </c>
      <c r="C1521">
        <v>164</v>
      </c>
      <c r="D1521">
        <v>2360593</v>
      </c>
      <c r="E1521">
        <v>2.3605930000000002</v>
      </c>
      <c r="F1521">
        <v>2017</v>
      </c>
      <c r="G1521">
        <v>14393.9</v>
      </c>
      <c r="H1521">
        <v>138719</v>
      </c>
    </row>
    <row r="1522" spans="1:8" x14ac:dyDescent="0.25">
      <c r="A1522" t="s">
        <v>656</v>
      </c>
      <c r="B1522" t="s">
        <v>1610</v>
      </c>
      <c r="C1522">
        <v>14</v>
      </c>
      <c r="D1522">
        <v>1478151</v>
      </c>
      <c r="E1522">
        <v>1.478151</v>
      </c>
      <c r="F1522">
        <v>2060</v>
      </c>
      <c r="G1522">
        <v>105582.2</v>
      </c>
      <c r="H1522">
        <v>453019</v>
      </c>
    </row>
    <row r="1523" spans="1:8" x14ac:dyDescent="0.25">
      <c r="A1523" t="s">
        <v>657</v>
      </c>
      <c r="B1523" t="s">
        <v>1610</v>
      </c>
      <c r="C1523">
        <v>5</v>
      </c>
      <c r="D1523">
        <v>2033478</v>
      </c>
      <c r="E1523">
        <v>2.0334780000000001</v>
      </c>
      <c r="F1523">
        <v>2114</v>
      </c>
      <c r="G1523">
        <v>406695.6</v>
      </c>
      <c r="H1523">
        <v>1110808</v>
      </c>
    </row>
    <row r="1524" spans="1:8" x14ac:dyDescent="0.25">
      <c r="A1524" t="s">
        <v>658</v>
      </c>
      <c r="B1524" t="s">
        <v>1610</v>
      </c>
      <c r="C1524">
        <v>319</v>
      </c>
      <c r="D1524">
        <v>3108713</v>
      </c>
      <c r="E1524">
        <v>3.1087129999999998</v>
      </c>
      <c r="F1524">
        <v>2024</v>
      </c>
      <c r="G1524">
        <v>9745.2000000000007</v>
      </c>
      <c r="H1524">
        <v>52987</v>
      </c>
    </row>
    <row r="1525" spans="1:8" x14ac:dyDescent="0.25">
      <c r="A1525" t="s">
        <v>659</v>
      </c>
      <c r="B1525" t="s">
        <v>1610</v>
      </c>
      <c r="C1525">
        <v>3</v>
      </c>
      <c r="D1525">
        <v>3674125</v>
      </c>
      <c r="E1525">
        <v>3.6741250000000001</v>
      </c>
      <c r="F1525">
        <v>254438</v>
      </c>
      <c r="G1525">
        <v>1224708.3</v>
      </c>
      <c r="H1525">
        <v>2623157</v>
      </c>
    </row>
    <row r="1526" spans="1:8" x14ac:dyDescent="0.25">
      <c r="A1526" t="s">
        <v>660</v>
      </c>
      <c r="B1526" t="s">
        <v>1610</v>
      </c>
      <c r="C1526">
        <v>37</v>
      </c>
      <c r="D1526">
        <v>3129065</v>
      </c>
      <c r="E1526">
        <v>3.1290650000000002</v>
      </c>
      <c r="F1526">
        <v>2052</v>
      </c>
      <c r="G1526">
        <v>84569.3</v>
      </c>
      <c r="H1526">
        <v>450833</v>
      </c>
    </row>
    <row r="1527" spans="1:8" x14ac:dyDescent="0.25">
      <c r="A1527" t="s">
        <v>661</v>
      </c>
      <c r="B1527" t="s">
        <v>1610</v>
      </c>
      <c r="C1527">
        <v>9</v>
      </c>
      <c r="D1527">
        <v>2980576</v>
      </c>
      <c r="E1527">
        <v>2.9805760000000001</v>
      </c>
      <c r="F1527">
        <v>32619</v>
      </c>
      <c r="G1527">
        <v>331175.09999999998</v>
      </c>
      <c r="H1527">
        <v>721183</v>
      </c>
    </row>
    <row r="1528" spans="1:8" x14ac:dyDescent="0.25">
      <c r="A1528" t="s">
        <v>662</v>
      </c>
      <c r="B1528" t="s">
        <v>1610</v>
      </c>
      <c r="C1528">
        <v>46</v>
      </c>
      <c r="D1528">
        <v>2956417</v>
      </c>
      <c r="E1528">
        <v>2.9564170000000001</v>
      </c>
      <c r="F1528">
        <v>3493</v>
      </c>
      <c r="G1528">
        <v>64269.9</v>
      </c>
      <c r="H1528">
        <v>503323</v>
      </c>
    </row>
    <row r="1529" spans="1:8" x14ac:dyDescent="0.25">
      <c r="A1529" t="s">
        <v>663</v>
      </c>
      <c r="B1529" t="s">
        <v>1610</v>
      </c>
      <c r="C1529">
        <v>127</v>
      </c>
      <c r="D1529">
        <v>1612608</v>
      </c>
      <c r="E1529">
        <v>1.612608</v>
      </c>
      <c r="F1529">
        <v>2017</v>
      </c>
      <c r="G1529">
        <v>12697.7</v>
      </c>
      <c r="H1529">
        <v>111095</v>
      </c>
    </row>
    <row r="1530" spans="1:8" x14ac:dyDescent="0.25">
      <c r="A1530" t="s">
        <v>1075</v>
      </c>
      <c r="B1530" t="s">
        <v>1610</v>
      </c>
      <c r="C1530">
        <v>11</v>
      </c>
      <c r="D1530">
        <v>1452179</v>
      </c>
      <c r="E1530">
        <v>1.4521790000000001</v>
      </c>
      <c r="F1530">
        <v>2580</v>
      </c>
      <c r="G1530">
        <v>132016.29999999999</v>
      </c>
      <c r="H1530">
        <v>1063505</v>
      </c>
    </row>
    <row r="1531" spans="1:8" x14ac:dyDescent="0.25">
      <c r="A1531" t="s">
        <v>1076</v>
      </c>
      <c r="B1531" t="s">
        <v>1610</v>
      </c>
      <c r="C1531">
        <v>72</v>
      </c>
      <c r="D1531">
        <v>2447050</v>
      </c>
      <c r="E1531">
        <v>2.4470499999999999</v>
      </c>
      <c r="F1531">
        <v>2024</v>
      </c>
      <c r="G1531">
        <v>33986.800000000003</v>
      </c>
      <c r="H1531">
        <v>294081</v>
      </c>
    </row>
    <row r="1532" spans="1:8" x14ac:dyDescent="0.25">
      <c r="A1532" t="s">
        <v>1077</v>
      </c>
      <c r="B1532" t="s">
        <v>1610</v>
      </c>
      <c r="C1532">
        <v>141</v>
      </c>
      <c r="D1532">
        <v>1501021</v>
      </c>
      <c r="E1532">
        <v>1.5010209999999999</v>
      </c>
      <c r="F1532">
        <v>2104</v>
      </c>
      <c r="G1532">
        <v>10645.5</v>
      </c>
      <c r="H1532">
        <v>61271</v>
      </c>
    </row>
    <row r="1533" spans="1:8" x14ac:dyDescent="0.25">
      <c r="A1533" t="s">
        <v>1078</v>
      </c>
      <c r="B1533" t="s">
        <v>1610</v>
      </c>
      <c r="C1533">
        <v>700</v>
      </c>
      <c r="D1533">
        <v>3304250</v>
      </c>
      <c r="E1533">
        <v>3.3042500000000001</v>
      </c>
      <c r="F1533">
        <v>2016</v>
      </c>
      <c r="G1533">
        <v>4720.3999999999996</v>
      </c>
      <c r="H1533">
        <v>47701</v>
      </c>
    </row>
    <row r="1534" spans="1:8" x14ac:dyDescent="0.25">
      <c r="A1534" t="s">
        <v>1079</v>
      </c>
      <c r="B1534" t="s">
        <v>1610</v>
      </c>
      <c r="C1534">
        <v>342</v>
      </c>
      <c r="D1534">
        <v>1945405</v>
      </c>
      <c r="E1534">
        <v>1.9454050000000001</v>
      </c>
      <c r="F1534">
        <v>2002</v>
      </c>
      <c r="G1534">
        <v>5688.3</v>
      </c>
      <c r="H1534">
        <v>31451</v>
      </c>
    </row>
    <row r="1535" spans="1:8" x14ac:dyDescent="0.25">
      <c r="A1535" t="s">
        <v>1080</v>
      </c>
      <c r="B1535" t="s">
        <v>1610</v>
      </c>
      <c r="C1535">
        <v>217</v>
      </c>
      <c r="D1535">
        <v>1538696</v>
      </c>
      <c r="E1535">
        <v>1.5386960000000001</v>
      </c>
      <c r="F1535">
        <v>2501</v>
      </c>
      <c r="G1535">
        <v>7090.8</v>
      </c>
      <c r="H1535">
        <v>80955</v>
      </c>
    </row>
    <row r="1536" spans="1:8" x14ac:dyDescent="0.25">
      <c r="A1536" t="s">
        <v>1081</v>
      </c>
      <c r="B1536" t="s">
        <v>1610</v>
      </c>
      <c r="C1536">
        <v>265</v>
      </c>
      <c r="D1536">
        <v>1117037</v>
      </c>
      <c r="E1536">
        <v>1.1170370000000001</v>
      </c>
      <c r="F1536">
        <v>2007</v>
      </c>
      <c r="G1536">
        <v>4215.2</v>
      </c>
      <c r="H1536">
        <v>36154</v>
      </c>
    </row>
    <row r="1537" spans="1:8" x14ac:dyDescent="0.25">
      <c r="A1537" t="s">
        <v>1082</v>
      </c>
      <c r="B1537" t="s">
        <v>1610</v>
      </c>
      <c r="C1537">
        <v>161</v>
      </c>
      <c r="D1537">
        <v>2181542</v>
      </c>
      <c r="E1537">
        <v>2.1815419999999999</v>
      </c>
      <c r="F1537">
        <v>2018</v>
      </c>
      <c r="G1537">
        <v>13550</v>
      </c>
      <c r="H1537">
        <v>79093</v>
      </c>
    </row>
    <row r="1538" spans="1:8" x14ac:dyDescent="0.25">
      <c r="A1538" t="s">
        <v>1569</v>
      </c>
      <c r="B1538" t="s">
        <v>1610</v>
      </c>
      <c r="C1538">
        <v>101</v>
      </c>
      <c r="D1538">
        <v>2247189</v>
      </c>
      <c r="E1538">
        <v>2.2471890000000001</v>
      </c>
      <c r="F1538">
        <v>2078</v>
      </c>
      <c r="G1538">
        <v>22249.4</v>
      </c>
      <c r="H1538">
        <v>187118</v>
      </c>
    </row>
    <row r="1539" spans="1:8" x14ac:dyDescent="0.25">
      <c r="A1539" t="s">
        <v>1570</v>
      </c>
      <c r="B1539" t="s">
        <v>1610</v>
      </c>
      <c r="C1539">
        <v>59</v>
      </c>
      <c r="D1539">
        <v>1831682</v>
      </c>
      <c r="E1539">
        <v>1.831682</v>
      </c>
      <c r="F1539">
        <v>2031</v>
      </c>
      <c r="G1539">
        <v>31045.5</v>
      </c>
      <c r="H1539">
        <v>204138</v>
      </c>
    </row>
    <row r="1540" spans="1:8" x14ac:dyDescent="0.25">
      <c r="A1540" t="s">
        <v>1571</v>
      </c>
      <c r="B1540" t="s">
        <v>1610</v>
      </c>
      <c r="C1540">
        <v>68</v>
      </c>
      <c r="D1540">
        <v>2892071</v>
      </c>
      <c r="E1540">
        <v>2.8920710000000001</v>
      </c>
      <c r="F1540">
        <v>2038</v>
      </c>
      <c r="G1540">
        <v>42530.5</v>
      </c>
      <c r="H1540">
        <v>183331</v>
      </c>
    </row>
    <row r="1541" spans="1:8" x14ac:dyDescent="0.25">
      <c r="A1541" t="s">
        <v>1572</v>
      </c>
      <c r="B1541" t="s">
        <v>1610</v>
      </c>
      <c r="C1541">
        <v>57</v>
      </c>
      <c r="D1541">
        <v>2162102</v>
      </c>
      <c r="E1541">
        <v>2.162102</v>
      </c>
      <c r="F1541">
        <v>4340</v>
      </c>
      <c r="G1541">
        <v>37931.599999999999</v>
      </c>
      <c r="H1541">
        <v>106905</v>
      </c>
    </row>
    <row r="1542" spans="1:8" x14ac:dyDescent="0.25">
      <c r="A1542" t="s">
        <v>220</v>
      </c>
      <c r="B1542" t="s">
        <v>1611</v>
      </c>
      <c r="C1542">
        <v>763</v>
      </c>
      <c r="D1542">
        <v>2997396</v>
      </c>
      <c r="E1542">
        <v>2.9973960000000002</v>
      </c>
      <c r="F1542">
        <v>2003</v>
      </c>
      <c r="G1542">
        <v>3928.4</v>
      </c>
      <c r="H1542">
        <v>50423</v>
      </c>
    </row>
    <row r="1543" spans="1:8" x14ac:dyDescent="0.25">
      <c r="A1543" t="s">
        <v>221</v>
      </c>
      <c r="B1543" t="s">
        <v>1611</v>
      </c>
      <c r="C1543">
        <v>447</v>
      </c>
      <c r="D1543">
        <v>2409404</v>
      </c>
      <c r="E1543">
        <v>2.4094039999999999</v>
      </c>
      <c r="F1543">
        <v>2000</v>
      </c>
      <c r="G1543">
        <v>5390.2</v>
      </c>
      <c r="H1543">
        <v>80979</v>
      </c>
    </row>
    <row r="1544" spans="1:8" x14ac:dyDescent="0.25">
      <c r="A1544" t="s">
        <v>664</v>
      </c>
      <c r="B1544" t="s">
        <v>1611</v>
      </c>
      <c r="C1544">
        <v>129</v>
      </c>
      <c r="D1544">
        <v>2074126</v>
      </c>
      <c r="E1544">
        <v>2.0741260000000001</v>
      </c>
      <c r="F1544">
        <v>2028</v>
      </c>
      <c r="G1544">
        <v>16078.5</v>
      </c>
      <c r="H1544">
        <v>150175</v>
      </c>
    </row>
    <row r="1545" spans="1:8" x14ac:dyDescent="0.25">
      <c r="A1545" t="s">
        <v>665</v>
      </c>
      <c r="B1545" t="s">
        <v>1611</v>
      </c>
      <c r="C1545">
        <v>11</v>
      </c>
      <c r="D1545">
        <v>2286636</v>
      </c>
      <c r="E1545">
        <v>2.2866360000000001</v>
      </c>
      <c r="F1545">
        <v>6995</v>
      </c>
      <c r="G1545">
        <v>207876</v>
      </c>
      <c r="H1545">
        <v>712390</v>
      </c>
    </row>
    <row r="1546" spans="1:8" x14ac:dyDescent="0.25">
      <c r="A1546" t="s">
        <v>1083</v>
      </c>
      <c r="B1546" t="s">
        <v>1611</v>
      </c>
      <c r="C1546">
        <v>74</v>
      </c>
      <c r="D1546">
        <v>1782031</v>
      </c>
      <c r="E1546">
        <v>1.7820309999999999</v>
      </c>
      <c r="F1546">
        <v>2013</v>
      </c>
      <c r="G1546">
        <v>24081.5</v>
      </c>
      <c r="H1546">
        <v>281015</v>
      </c>
    </row>
    <row r="1547" spans="1:8" x14ac:dyDescent="0.25">
      <c r="A1547" t="s">
        <v>1573</v>
      </c>
      <c r="B1547" t="s">
        <v>1611</v>
      </c>
      <c r="C1547">
        <v>46</v>
      </c>
      <c r="D1547">
        <v>2616702</v>
      </c>
      <c r="E1547">
        <v>2.6167020000000001</v>
      </c>
      <c r="F1547">
        <v>2435</v>
      </c>
      <c r="G1547">
        <v>56884.800000000003</v>
      </c>
      <c r="H1547">
        <v>489147</v>
      </c>
    </row>
    <row r="1548" spans="1:8" x14ac:dyDescent="0.25">
      <c r="A1548" t="s">
        <v>1574</v>
      </c>
      <c r="B1548" t="s">
        <v>1611</v>
      </c>
      <c r="C1548">
        <v>125</v>
      </c>
      <c r="D1548">
        <v>2585441</v>
      </c>
      <c r="E1548">
        <v>2.5854409999999999</v>
      </c>
      <c r="F1548">
        <v>2019</v>
      </c>
      <c r="G1548">
        <v>20683.5</v>
      </c>
      <c r="H1548">
        <v>278609</v>
      </c>
    </row>
    <row r="1549" spans="1:8" x14ac:dyDescent="0.25">
      <c r="A1549" t="s">
        <v>1575</v>
      </c>
      <c r="B1549" t="s">
        <v>1611</v>
      </c>
      <c r="C1549">
        <v>34</v>
      </c>
      <c r="D1549">
        <v>2969054</v>
      </c>
      <c r="E1549">
        <v>2.9690539999999999</v>
      </c>
      <c r="F1549">
        <v>2010</v>
      </c>
      <c r="G1549">
        <v>87325.1</v>
      </c>
      <c r="H1549">
        <v>423649</v>
      </c>
    </row>
    <row r="1550" spans="1:8" x14ac:dyDescent="0.25">
      <c r="A1550" t="s">
        <v>1576</v>
      </c>
      <c r="B1550" t="s">
        <v>1611</v>
      </c>
      <c r="C1550">
        <v>52</v>
      </c>
      <c r="D1550">
        <v>2886483</v>
      </c>
      <c r="E1550">
        <v>2.8864830000000001</v>
      </c>
      <c r="F1550">
        <v>2023</v>
      </c>
      <c r="G1550">
        <v>55509.3</v>
      </c>
      <c r="H1550">
        <v>1892305</v>
      </c>
    </row>
    <row r="1551" spans="1:8" x14ac:dyDescent="0.25">
      <c r="A1551" t="s">
        <v>222</v>
      </c>
      <c r="B1551" t="s">
        <v>1612</v>
      </c>
      <c r="C1551">
        <v>5</v>
      </c>
      <c r="D1551">
        <v>6254653</v>
      </c>
      <c r="E1551">
        <v>6.2546530000000002</v>
      </c>
      <c r="F1551">
        <v>2214</v>
      </c>
      <c r="G1551">
        <v>1250930.6000000001</v>
      </c>
      <c r="H1551">
        <v>2978811</v>
      </c>
    </row>
    <row r="1552" spans="1:8" x14ac:dyDescent="0.25">
      <c r="A1552" t="s">
        <v>223</v>
      </c>
      <c r="B1552" t="s">
        <v>1612</v>
      </c>
      <c r="C1552">
        <v>1</v>
      </c>
      <c r="D1552">
        <v>3335651</v>
      </c>
      <c r="E1552">
        <v>3.3356509999999999</v>
      </c>
      <c r="F1552">
        <v>3335651</v>
      </c>
      <c r="G1552">
        <v>3335651</v>
      </c>
      <c r="H1552">
        <v>3335651</v>
      </c>
    </row>
    <row r="1553" spans="1:8" x14ac:dyDescent="0.25">
      <c r="A1553" t="s">
        <v>224</v>
      </c>
      <c r="B1553" t="s">
        <v>1612</v>
      </c>
      <c r="C1553">
        <v>320</v>
      </c>
      <c r="D1553">
        <v>2779660</v>
      </c>
      <c r="E1553">
        <v>2.7796599999999998</v>
      </c>
      <c r="F1553">
        <v>2003</v>
      </c>
      <c r="G1553">
        <v>8686.4</v>
      </c>
      <c r="H1553">
        <v>49973</v>
      </c>
    </row>
    <row r="1554" spans="1:8" x14ac:dyDescent="0.25">
      <c r="A1554" t="s">
        <v>666</v>
      </c>
      <c r="B1554" t="s">
        <v>1612</v>
      </c>
      <c r="C1554">
        <v>6</v>
      </c>
      <c r="D1554">
        <v>2719743</v>
      </c>
      <c r="E1554">
        <v>2.7197429999999998</v>
      </c>
      <c r="F1554">
        <v>172983</v>
      </c>
      <c r="G1554">
        <v>453290.5</v>
      </c>
      <c r="H1554">
        <v>884889</v>
      </c>
    </row>
    <row r="1555" spans="1:8" x14ac:dyDescent="0.25">
      <c r="A1555" t="s">
        <v>667</v>
      </c>
      <c r="B1555" t="s">
        <v>1612</v>
      </c>
      <c r="C1555">
        <v>398</v>
      </c>
      <c r="D1555">
        <v>3249009</v>
      </c>
      <c r="E1555">
        <v>3.249009</v>
      </c>
      <c r="F1555">
        <v>2000</v>
      </c>
      <c r="G1555">
        <v>8163.3</v>
      </c>
      <c r="H1555">
        <v>105733</v>
      </c>
    </row>
    <row r="1556" spans="1:8" x14ac:dyDescent="0.25">
      <c r="A1556" t="s">
        <v>668</v>
      </c>
      <c r="B1556" t="s">
        <v>1612</v>
      </c>
      <c r="C1556">
        <v>11</v>
      </c>
      <c r="D1556">
        <v>2558646</v>
      </c>
      <c r="E1556">
        <v>2.558646</v>
      </c>
      <c r="F1556">
        <v>3442</v>
      </c>
      <c r="G1556">
        <v>232604.2</v>
      </c>
      <c r="H1556">
        <v>1096463</v>
      </c>
    </row>
    <row r="1557" spans="1:8" x14ac:dyDescent="0.25">
      <c r="A1557" t="s">
        <v>669</v>
      </c>
      <c r="B1557" t="s">
        <v>1612</v>
      </c>
      <c r="C1557">
        <v>14</v>
      </c>
      <c r="D1557">
        <v>2896220</v>
      </c>
      <c r="E1557">
        <v>2.89622</v>
      </c>
      <c r="F1557">
        <v>7409</v>
      </c>
      <c r="G1557">
        <v>206872.9</v>
      </c>
      <c r="H1557">
        <v>624628</v>
      </c>
    </row>
    <row r="1558" spans="1:8" x14ac:dyDescent="0.25">
      <c r="A1558" t="s">
        <v>670</v>
      </c>
      <c r="B1558" t="s">
        <v>1612</v>
      </c>
      <c r="C1558">
        <v>71</v>
      </c>
      <c r="D1558">
        <v>2632094</v>
      </c>
      <c r="E1558">
        <v>2.6320939999999999</v>
      </c>
      <c r="F1558">
        <v>2106</v>
      </c>
      <c r="G1558">
        <v>37071.699999999997</v>
      </c>
      <c r="H1558">
        <v>192481</v>
      </c>
    </row>
    <row r="1559" spans="1:8" x14ac:dyDescent="0.25">
      <c r="A1559" t="s">
        <v>671</v>
      </c>
      <c r="B1559" t="s">
        <v>1612</v>
      </c>
      <c r="C1559">
        <v>25</v>
      </c>
      <c r="D1559">
        <v>2599602</v>
      </c>
      <c r="E1559">
        <v>2.599602</v>
      </c>
      <c r="F1559">
        <v>4160</v>
      </c>
      <c r="G1559">
        <v>103984.1</v>
      </c>
      <c r="H1559">
        <v>238706</v>
      </c>
    </row>
    <row r="1560" spans="1:8" x14ac:dyDescent="0.25">
      <c r="A1560" t="s">
        <v>672</v>
      </c>
      <c r="B1560" t="s">
        <v>1612</v>
      </c>
      <c r="C1560">
        <v>18</v>
      </c>
      <c r="D1560">
        <v>874949</v>
      </c>
      <c r="E1560">
        <v>0.87494899999999998</v>
      </c>
      <c r="F1560">
        <v>3332</v>
      </c>
      <c r="G1560">
        <v>48608.3</v>
      </c>
      <c r="H1560">
        <v>230467</v>
      </c>
    </row>
    <row r="1561" spans="1:8" x14ac:dyDescent="0.25">
      <c r="A1561" t="s">
        <v>673</v>
      </c>
      <c r="B1561" t="s">
        <v>1612</v>
      </c>
      <c r="C1561">
        <v>16</v>
      </c>
      <c r="D1561">
        <v>2242517</v>
      </c>
      <c r="E1561">
        <v>2.2425169999999999</v>
      </c>
      <c r="F1561">
        <v>2058</v>
      </c>
      <c r="G1561">
        <v>140157.29999999999</v>
      </c>
      <c r="H1561">
        <v>933965</v>
      </c>
    </row>
    <row r="1562" spans="1:8" x14ac:dyDescent="0.25">
      <c r="A1562" t="s">
        <v>674</v>
      </c>
      <c r="B1562" t="s">
        <v>1612</v>
      </c>
      <c r="C1562">
        <v>239</v>
      </c>
      <c r="D1562">
        <v>2911185</v>
      </c>
      <c r="E1562">
        <v>2.9111850000000001</v>
      </c>
      <c r="F1562">
        <v>2000</v>
      </c>
      <c r="G1562">
        <v>12180.7</v>
      </c>
      <c r="H1562">
        <v>163882</v>
      </c>
    </row>
    <row r="1563" spans="1:8" x14ac:dyDescent="0.25">
      <c r="A1563" t="s">
        <v>675</v>
      </c>
      <c r="B1563" t="s">
        <v>1612</v>
      </c>
      <c r="C1563">
        <v>162</v>
      </c>
      <c r="D1563">
        <v>2463925</v>
      </c>
      <c r="E1563">
        <v>2.4639250000000001</v>
      </c>
      <c r="F1563">
        <v>2093</v>
      </c>
      <c r="G1563">
        <v>15209.4</v>
      </c>
      <c r="H1563">
        <v>125912</v>
      </c>
    </row>
    <row r="1564" spans="1:8" x14ac:dyDescent="0.25">
      <c r="A1564" t="s">
        <v>1084</v>
      </c>
      <c r="B1564" t="s">
        <v>1612</v>
      </c>
      <c r="C1564">
        <v>216</v>
      </c>
      <c r="D1564">
        <v>2957441</v>
      </c>
      <c r="E1564">
        <v>2.9574410000000002</v>
      </c>
      <c r="F1564">
        <v>2007</v>
      </c>
      <c r="G1564">
        <v>13691.9</v>
      </c>
      <c r="H1564">
        <v>184342</v>
      </c>
    </row>
    <row r="1565" spans="1:8" x14ac:dyDescent="0.25">
      <c r="A1565" t="s">
        <v>1085</v>
      </c>
      <c r="B1565" t="s">
        <v>1612</v>
      </c>
      <c r="C1565">
        <v>29</v>
      </c>
      <c r="D1565">
        <v>1790636</v>
      </c>
      <c r="E1565">
        <v>1.7906359999999999</v>
      </c>
      <c r="F1565">
        <v>3570</v>
      </c>
      <c r="G1565">
        <v>61746.1</v>
      </c>
      <c r="H1565">
        <v>186398</v>
      </c>
    </row>
    <row r="1566" spans="1:8" x14ac:dyDescent="0.25">
      <c r="A1566" t="s">
        <v>1086</v>
      </c>
      <c r="B1566" t="s">
        <v>1612</v>
      </c>
      <c r="C1566">
        <v>31</v>
      </c>
      <c r="D1566">
        <v>1727866</v>
      </c>
      <c r="E1566">
        <v>1.7278659999999999</v>
      </c>
      <c r="F1566">
        <v>6983</v>
      </c>
      <c r="G1566">
        <v>55737.599999999999</v>
      </c>
      <c r="H1566">
        <v>202425</v>
      </c>
    </row>
    <row r="1567" spans="1:8" x14ac:dyDescent="0.25">
      <c r="A1567" t="s">
        <v>1087</v>
      </c>
      <c r="B1567" t="s">
        <v>1612</v>
      </c>
      <c r="C1567">
        <v>45</v>
      </c>
      <c r="D1567">
        <v>2633943</v>
      </c>
      <c r="E1567">
        <v>2.6339429999999999</v>
      </c>
      <c r="F1567">
        <v>4297</v>
      </c>
      <c r="G1567">
        <v>58532.1</v>
      </c>
      <c r="H1567">
        <v>327596</v>
      </c>
    </row>
    <row r="1568" spans="1:8" x14ac:dyDescent="0.25">
      <c r="A1568" t="s">
        <v>1088</v>
      </c>
      <c r="B1568" t="s">
        <v>1612</v>
      </c>
      <c r="C1568">
        <v>70</v>
      </c>
      <c r="D1568">
        <v>2407910</v>
      </c>
      <c r="E1568">
        <v>2.4079100000000002</v>
      </c>
      <c r="F1568">
        <v>2002</v>
      </c>
      <c r="G1568">
        <v>34398.699999999997</v>
      </c>
      <c r="H1568">
        <v>233795</v>
      </c>
    </row>
    <row r="1569" spans="1:8" x14ac:dyDescent="0.25">
      <c r="A1569" t="s">
        <v>1089</v>
      </c>
      <c r="B1569" t="s">
        <v>1612</v>
      </c>
      <c r="C1569">
        <v>192</v>
      </c>
      <c r="D1569">
        <v>1738844</v>
      </c>
      <c r="E1569">
        <v>1.7388440000000001</v>
      </c>
      <c r="F1569">
        <v>2524</v>
      </c>
      <c r="G1569">
        <v>9056.5</v>
      </c>
      <c r="H1569">
        <v>138212</v>
      </c>
    </row>
    <row r="1570" spans="1:8" x14ac:dyDescent="0.25">
      <c r="A1570" t="s">
        <v>1090</v>
      </c>
      <c r="B1570" t="s">
        <v>1612</v>
      </c>
      <c r="C1570">
        <v>25</v>
      </c>
      <c r="D1570">
        <v>2091455</v>
      </c>
      <c r="E1570">
        <v>2.0914549999999998</v>
      </c>
      <c r="F1570">
        <v>12210</v>
      </c>
      <c r="G1570">
        <v>83658.2</v>
      </c>
      <c r="H1570">
        <v>239202</v>
      </c>
    </row>
    <row r="1571" spans="1:8" x14ac:dyDescent="0.25">
      <c r="A1571" t="s">
        <v>1091</v>
      </c>
      <c r="B1571" t="s">
        <v>1612</v>
      </c>
      <c r="C1571">
        <v>14</v>
      </c>
      <c r="D1571">
        <v>3285637</v>
      </c>
      <c r="E1571">
        <v>3.2856369999999999</v>
      </c>
      <c r="F1571">
        <v>2967</v>
      </c>
      <c r="G1571">
        <v>234688.4</v>
      </c>
      <c r="H1571">
        <v>1677513</v>
      </c>
    </row>
    <row r="1572" spans="1:8" x14ac:dyDescent="0.25">
      <c r="A1572" t="s">
        <v>1577</v>
      </c>
      <c r="B1572" t="s">
        <v>1612</v>
      </c>
      <c r="C1572">
        <v>348</v>
      </c>
      <c r="D1572">
        <v>2835218</v>
      </c>
      <c r="E1572">
        <v>2.8352179999999998</v>
      </c>
      <c r="F1572">
        <v>2009</v>
      </c>
      <c r="G1572">
        <v>8147.2</v>
      </c>
      <c r="H1572">
        <v>91840</v>
      </c>
    </row>
    <row r="1573" spans="1:8" x14ac:dyDescent="0.25">
      <c r="A1573" t="s">
        <v>1578</v>
      </c>
      <c r="B1573" t="s">
        <v>1612</v>
      </c>
      <c r="C1573">
        <v>8</v>
      </c>
      <c r="D1573">
        <v>2918599</v>
      </c>
      <c r="E1573">
        <v>2.9185989999999999</v>
      </c>
      <c r="F1573">
        <v>15998</v>
      </c>
      <c r="G1573">
        <v>364824.9</v>
      </c>
      <c r="H1573">
        <v>708241</v>
      </c>
    </row>
    <row r="1574" spans="1:8" x14ac:dyDescent="0.25">
      <c r="A1574" t="s">
        <v>1579</v>
      </c>
      <c r="B1574" t="s">
        <v>1612</v>
      </c>
      <c r="C1574">
        <v>21</v>
      </c>
      <c r="D1574">
        <v>1871756</v>
      </c>
      <c r="E1574">
        <v>1.871756</v>
      </c>
      <c r="F1574">
        <v>2083</v>
      </c>
      <c r="G1574">
        <v>89131.199999999997</v>
      </c>
      <c r="H1574">
        <v>345160</v>
      </c>
    </row>
    <row r="1575" spans="1:8" x14ac:dyDescent="0.25">
      <c r="A1575" t="s">
        <v>1580</v>
      </c>
      <c r="B1575" t="s">
        <v>1612</v>
      </c>
      <c r="C1575">
        <v>34</v>
      </c>
      <c r="D1575">
        <v>3332361</v>
      </c>
      <c r="E1575">
        <v>3.3323610000000001</v>
      </c>
      <c r="F1575">
        <v>29950</v>
      </c>
      <c r="G1575">
        <v>98010.6</v>
      </c>
      <c r="H1575">
        <v>307021</v>
      </c>
    </row>
    <row r="1576" spans="1:8" x14ac:dyDescent="0.25">
      <c r="A1576" t="s">
        <v>1581</v>
      </c>
      <c r="B1576" t="s">
        <v>1612</v>
      </c>
      <c r="C1576">
        <v>78</v>
      </c>
      <c r="D1576">
        <v>4368412</v>
      </c>
      <c r="E1576">
        <v>4.3684120000000002</v>
      </c>
      <c r="F1576">
        <v>2047</v>
      </c>
      <c r="G1576">
        <v>56005.3</v>
      </c>
      <c r="H1576">
        <v>648572</v>
      </c>
    </row>
    <row r="1577" spans="1:8" x14ac:dyDescent="0.25">
      <c r="A1577" t="s">
        <v>1582</v>
      </c>
      <c r="B1577" t="s">
        <v>1612</v>
      </c>
      <c r="C1577">
        <v>58</v>
      </c>
      <c r="D1577">
        <v>2882349</v>
      </c>
      <c r="E1577">
        <v>2.882349</v>
      </c>
      <c r="F1577">
        <v>2689</v>
      </c>
      <c r="G1577">
        <v>49695.7</v>
      </c>
      <c r="H1577">
        <v>612887</v>
      </c>
    </row>
    <row r="1578" spans="1:8" x14ac:dyDescent="0.25">
      <c r="A1578" t="s">
        <v>1583</v>
      </c>
      <c r="B1578" t="s">
        <v>1612</v>
      </c>
      <c r="C1578">
        <v>3</v>
      </c>
      <c r="D1578">
        <v>3120842</v>
      </c>
      <c r="E1578">
        <v>3.1208420000000001</v>
      </c>
      <c r="F1578">
        <v>38984</v>
      </c>
      <c r="G1578">
        <v>1040280.7</v>
      </c>
      <c r="H1578">
        <v>3031473</v>
      </c>
    </row>
    <row r="1579" spans="1:8" x14ac:dyDescent="0.25">
      <c r="A1579" t="s">
        <v>1584</v>
      </c>
      <c r="B1579" t="s">
        <v>1612</v>
      </c>
      <c r="C1579">
        <v>42</v>
      </c>
      <c r="D1579">
        <v>2891030</v>
      </c>
      <c r="E1579">
        <v>2.8910300000000002</v>
      </c>
      <c r="F1579">
        <v>2316</v>
      </c>
      <c r="G1579">
        <v>68834</v>
      </c>
      <c r="H1579">
        <v>918071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579"/>
  <sheetViews>
    <sheetView workbookViewId="0">
      <selection sqref="A1:H1048576"/>
    </sheetView>
  </sheetViews>
  <sheetFormatPr defaultRowHeight="13.8" x14ac:dyDescent="0.25"/>
  <cols>
    <col min="1" max="1" width="19.6640625" customWidth="1"/>
    <col min="2" max="2" width="24.21875" customWidth="1"/>
    <col min="3" max="3" width="13.44140625" customWidth="1"/>
    <col min="4" max="4" width="17.77734375" style="3" customWidth="1"/>
    <col min="5" max="5" width="19.88671875" customWidth="1"/>
    <col min="6" max="6" width="12" customWidth="1"/>
    <col min="7" max="7" width="18.109375" customWidth="1"/>
    <col min="8" max="8" width="16.77734375" customWidth="1"/>
    <col min="13" max="13" width="23.44140625" customWidth="1"/>
    <col min="14" max="14" width="30.33203125" customWidth="1"/>
  </cols>
  <sheetData>
    <row r="1" spans="1:14" x14ac:dyDescent="0.25">
      <c r="A1" t="s">
        <v>5</v>
      </c>
      <c r="B1" t="s">
        <v>1586</v>
      </c>
      <c r="C1" t="s">
        <v>0</v>
      </c>
      <c r="D1" s="3" t="s">
        <v>1</v>
      </c>
      <c r="E1" t="s">
        <v>6</v>
      </c>
      <c r="F1" t="s">
        <v>2</v>
      </c>
      <c r="G1" t="s">
        <v>3</v>
      </c>
      <c r="H1" t="s">
        <v>4</v>
      </c>
      <c r="M1" t="s">
        <v>1585</v>
      </c>
      <c r="N1" t="s">
        <v>1586</v>
      </c>
    </row>
    <row r="2" spans="1:14" x14ac:dyDescent="0.25">
      <c r="A2" t="s">
        <v>225</v>
      </c>
      <c r="B2" t="str">
        <f t="shared" ref="B2:B65" si="0">VLOOKUP(A2,M:N,2,FALSE)</f>
        <v>p__Actinomycetota</v>
      </c>
      <c r="C2" s="1">
        <v>304</v>
      </c>
      <c r="D2" s="3">
        <v>1243924</v>
      </c>
      <c r="E2" s="3">
        <f t="shared" ref="E2:E65" si="1">D2/1000000</f>
        <v>1.243924</v>
      </c>
      <c r="F2" s="2">
        <v>2034</v>
      </c>
      <c r="G2" s="1">
        <v>4091.9</v>
      </c>
      <c r="H2" s="1">
        <v>21066</v>
      </c>
      <c r="M2" t="s">
        <v>225</v>
      </c>
      <c r="N2" t="s">
        <v>1587</v>
      </c>
    </row>
    <row r="3" spans="1:14" x14ac:dyDescent="0.25">
      <c r="A3" t="s">
        <v>226</v>
      </c>
      <c r="B3" t="str">
        <f t="shared" si="0"/>
        <v>p__Actinomycetota</v>
      </c>
      <c r="C3" s="1">
        <v>248</v>
      </c>
      <c r="D3" s="3">
        <v>1701786</v>
      </c>
      <c r="E3" s="3">
        <f t="shared" si="1"/>
        <v>1.701786</v>
      </c>
      <c r="F3" s="1">
        <v>2003</v>
      </c>
      <c r="G3" s="1">
        <v>6862</v>
      </c>
      <c r="H3" s="1">
        <v>31627</v>
      </c>
      <c r="M3" t="s">
        <v>226</v>
      </c>
      <c r="N3" t="s">
        <v>1587</v>
      </c>
    </row>
    <row r="4" spans="1:14" x14ac:dyDescent="0.25">
      <c r="A4" t="s">
        <v>227</v>
      </c>
      <c r="B4" t="str">
        <f t="shared" si="0"/>
        <v>p__Actinomycetota</v>
      </c>
      <c r="C4" s="1">
        <v>348</v>
      </c>
      <c r="D4" s="3">
        <v>3570265</v>
      </c>
      <c r="E4" s="3">
        <f t="shared" si="1"/>
        <v>3.570265</v>
      </c>
      <c r="F4" s="2">
        <v>2016</v>
      </c>
      <c r="G4" s="1">
        <v>10259.4</v>
      </c>
      <c r="H4" s="1">
        <v>155476</v>
      </c>
      <c r="M4" t="s">
        <v>227</v>
      </c>
      <c r="N4" t="s">
        <v>1587</v>
      </c>
    </row>
    <row r="5" spans="1:14" x14ac:dyDescent="0.25">
      <c r="A5" t="s">
        <v>228</v>
      </c>
      <c r="B5" t="str">
        <f t="shared" si="0"/>
        <v>p__Actinomycetota</v>
      </c>
      <c r="C5" s="1">
        <v>3</v>
      </c>
      <c r="D5" s="3">
        <v>3485785</v>
      </c>
      <c r="E5" s="3">
        <f t="shared" si="1"/>
        <v>3.4857849999999999</v>
      </c>
      <c r="F5" s="1">
        <v>2799</v>
      </c>
      <c r="G5" s="2">
        <v>1161928.3</v>
      </c>
      <c r="H5" s="1">
        <v>3476066</v>
      </c>
      <c r="M5" t="s">
        <v>228</v>
      </c>
      <c r="N5" t="s">
        <v>1587</v>
      </c>
    </row>
    <row r="6" spans="1:14" x14ac:dyDescent="0.25">
      <c r="A6" t="s">
        <v>229</v>
      </c>
      <c r="B6" t="str">
        <f t="shared" si="0"/>
        <v>p__Actinomycetota</v>
      </c>
      <c r="C6" s="1">
        <v>184</v>
      </c>
      <c r="D6" s="3">
        <v>2167933</v>
      </c>
      <c r="E6" s="3">
        <f t="shared" si="1"/>
        <v>2.1679330000000001</v>
      </c>
      <c r="F6" s="2">
        <v>2029</v>
      </c>
      <c r="G6" s="1">
        <v>11782.2</v>
      </c>
      <c r="H6" s="1">
        <v>65951</v>
      </c>
      <c r="M6" t="s">
        <v>229</v>
      </c>
      <c r="N6" t="s">
        <v>1587</v>
      </c>
    </row>
    <row r="7" spans="1:14" x14ac:dyDescent="0.25">
      <c r="A7" t="s">
        <v>230</v>
      </c>
      <c r="B7" t="str">
        <f t="shared" si="0"/>
        <v>p__Actinomycetota</v>
      </c>
      <c r="C7" s="1">
        <v>484</v>
      </c>
      <c r="D7" s="3">
        <v>3367734</v>
      </c>
      <c r="E7" s="3">
        <f t="shared" si="1"/>
        <v>3.367734</v>
      </c>
      <c r="F7" s="2">
        <v>2501</v>
      </c>
      <c r="G7" s="1">
        <v>6958.1</v>
      </c>
      <c r="H7" s="1">
        <v>46530</v>
      </c>
      <c r="M7" t="s">
        <v>230</v>
      </c>
      <c r="N7" t="s">
        <v>1587</v>
      </c>
    </row>
    <row r="8" spans="1:14" x14ac:dyDescent="0.25">
      <c r="A8" t="s">
        <v>231</v>
      </c>
      <c r="B8" t="str">
        <f t="shared" si="0"/>
        <v>p__Actinomycetota</v>
      </c>
      <c r="C8" s="1">
        <v>293</v>
      </c>
      <c r="D8" s="3">
        <v>3353778</v>
      </c>
      <c r="E8" s="3">
        <f t="shared" si="1"/>
        <v>3.3537780000000001</v>
      </c>
      <c r="F8" s="2">
        <v>2519</v>
      </c>
      <c r="G8" s="1">
        <v>11446.3</v>
      </c>
      <c r="H8" s="1">
        <v>64800</v>
      </c>
      <c r="M8" t="s">
        <v>231</v>
      </c>
      <c r="N8" t="s">
        <v>1587</v>
      </c>
    </row>
    <row r="9" spans="1:14" x14ac:dyDescent="0.25">
      <c r="A9" t="s">
        <v>232</v>
      </c>
      <c r="B9" t="str">
        <f t="shared" si="0"/>
        <v>p__Actinomycetota</v>
      </c>
      <c r="C9" s="1">
        <v>792</v>
      </c>
      <c r="D9" s="3">
        <v>3514271</v>
      </c>
      <c r="E9" s="3">
        <f t="shared" si="1"/>
        <v>3.5142709999999999</v>
      </c>
      <c r="F9" s="2">
        <v>2006</v>
      </c>
      <c r="G9" s="1">
        <v>4437.2</v>
      </c>
      <c r="H9" s="1">
        <v>45798</v>
      </c>
      <c r="M9" t="s">
        <v>232</v>
      </c>
      <c r="N9" t="s">
        <v>1587</v>
      </c>
    </row>
    <row r="10" spans="1:14" x14ac:dyDescent="0.25">
      <c r="A10" t="s">
        <v>233</v>
      </c>
      <c r="B10" t="str">
        <f t="shared" si="0"/>
        <v>p__Actinomycetota</v>
      </c>
      <c r="C10" s="1">
        <v>288</v>
      </c>
      <c r="D10" s="3">
        <v>2132026</v>
      </c>
      <c r="E10" s="3">
        <f t="shared" si="1"/>
        <v>2.1320260000000002</v>
      </c>
      <c r="F10" s="2">
        <v>2001</v>
      </c>
      <c r="G10" s="1">
        <v>7402.9</v>
      </c>
      <c r="H10" s="1">
        <v>40489</v>
      </c>
      <c r="M10" t="s">
        <v>233</v>
      </c>
      <c r="N10" t="s">
        <v>1587</v>
      </c>
    </row>
    <row r="11" spans="1:14" x14ac:dyDescent="0.25">
      <c r="A11" t="s">
        <v>234</v>
      </c>
      <c r="B11" t="str">
        <f t="shared" si="0"/>
        <v>p__Actinomycetota</v>
      </c>
      <c r="C11" s="1">
        <v>51</v>
      </c>
      <c r="D11" s="3">
        <v>2099369</v>
      </c>
      <c r="E11" s="3">
        <f t="shared" si="1"/>
        <v>2.0993689999999998</v>
      </c>
      <c r="F11" s="1">
        <v>8599</v>
      </c>
      <c r="G11" s="2">
        <v>41164.1</v>
      </c>
      <c r="H11" s="1">
        <v>173818</v>
      </c>
      <c r="M11" t="s">
        <v>234</v>
      </c>
      <c r="N11" t="s">
        <v>1587</v>
      </c>
    </row>
    <row r="12" spans="1:14" x14ac:dyDescent="0.25">
      <c r="A12" t="s">
        <v>235</v>
      </c>
      <c r="B12" t="str">
        <f t="shared" si="0"/>
        <v>p__Actinomycetota</v>
      </c>
      <c r="C12" s="1">
        <v>6</v>
      </c>
      <c r="D12" s="3">
        <v>2935834</v>
      </c>
      <c r="E12" s="3">
        <f t="shared" si="1"/>
        <v>2.9358339999999998</v>
      </c>
      <c r="F12" s="1">
        <v>16438</v>
      </c>
      <c r="G12" s="2">
        <v>489305.7</v>
      </c>
      <c r="H12" s="1">
        <v>1127270</v>
      </c>
      <c r="M12" t="s">
        <v>235</v>
      </c>
      <c r="N12" t="s">
        <v>1587</v>
      </c>
    </row>
    <row r="13" spans="1:14" x14ac:dyDescent="0.25">
      <c r="A13" t="s">
        <v>236</v>
      </c>
      <c r="B13" t="str">
        <f t="shared" si="0"/>
        <v>p__Actinomycetota</v>
      </c>
      <c r="C13" s="1">
        <v>22</v>
      </c>
      <c r="D13" s="3">
        <v>1506162</v>
      </c>
      <c r="E13" s="3">
        <f t="shared" si="1"/>
        <v>1.506162</v>
      </c>
      <c r="F13" s="1">
        <v>3639</v>
      </c>
      <c r="G13" s="2">
        <v>68461.899999999994</v>
      </c>
      <c r="H13" s="1">
        <v>318751</v>
      </c>
      <c r="M13" t="s">
        <v>236</v>
      </c>
      <c r="N13" t="s">
        <v>1587</v>
      </c>
    </row>
    <row r="14" spans="1:14" x14ac:dyDescent="0.25">
      <c r="A14" t="s">
        <v>676</v>
      </c>
      <c r="B14" t="str">
        <f t="shared" si="0"/>
        <v>p__Actinomycetota</v>
      </c>
      <c r="C14" s="1">
        <v>47</v>
      </c>
      <c r="D14" s="3">
        <v>2943853</v>
      </c>
      <c r="E14" s="3">
        <f t="shared" si="1"/>
        <v>2.9438529999999998</v>
      </c>
      <c r="F14" s="1">
        <v>2433</v>
      </c>
      <c r="G14" s="2">
        <v>62635.199999999997</v>
      </c>
      <c r="H14" s="1">
        <v>352481</v>
      </c>
      <c r="M14" t="s">
        <v>676</v>
      </c>
      <c r="N14" t="s">
        <v>1587</v>
      </c>
    </row>
    <row r="15" spans="1:14" x14ac:dyDescent="0.25">
      <c r="A15" t="s">
        <v>677</v>
      </c>
      <c r="B15" t="str">
        <f t="shared" si="0"/>
        <v>p__Actinomycetota</v>
      </c>
      <c r="C15" s="1">
        <v>11</v>
      </c>
      <c r="D15" s="3">
        <v>3121978</v>
      </c>
      <c r="E15" s="3">
        <f t="shared" si="1"/>
        <v>3.1219779999999999</v>
      </c>
      <c r="F15" s="1">
        <v>6634</v>
      </c>
      <c r="G15" s="2">
        <v>283816.2</v>
      </c>
      <c r="H15" s="1">
        <v>1728114</v>
      </c>
      <c r="M15" t="s">
        <v>677</v>
      </c>
      <c r="N15" t="s">
        <v>1587</v>
      </c>
    </row>
    <row r="16" spans="1:14" x14ac:dyDescent="0.25">
      <c r="A16" t="s">
        <v>678</v>
      </c>
      <c r="B16" t="str">
        <f t="shared" si="0"/>
        <v>p__Actinomycetota</v>
      </c>
      <c r="C16" s="1">
        <v>6</v>
      </c>
      <c r="D16" s="3">
        <v>2691002</v>
      </c>
      <c r="E16" s="3">
        <f t="shared" si="1"/>
        <v>2.6910020000000001</v>
      </c>
      <c r="F16" s="1">
        <v>4517</v>
      </c>
      <c r="G16" s="2">
        <v>448500.3</v>
      </c>
      <c r="H16" s="1">
        <v>1498574</v>
      </c>
      <c r="M16" t="s">
        <v>678</v>
      </c>
      <c r="N16" t="s">
        <v>1587</v>
      </c>
    </row>
    <row r="17" spans="1:14" x14ac:dyDescent="0.25">
      <c r="A17" t="s">
        <v>679</v>
      </c>
      <c r="B17" t="str">
        <f t="shared" si="0"/>
        <v>p__Actinomycetota</v>
      </c>
      <c r="C17" s="1">
        <v>12</v>
      </c>
      <c r="D17" s="3">
        <v>2781959</v>
      </c>
      <c r="E17" s="3">
        <f t="shared" si="1"/>
        <v>2.7819590000000001</v>
      </c>
      <c r="F17" s="1">
        <v>7836</v>
      </c>
      <c r="G17" s="2">
        <v>231829.9</v>
      </c>
      <c r="H17" s="1">
        <v>595016</v>
      </c>
      <c r="M17" t="s">
        <v>679</v>
      </c>
      <c r="N17" t="s">
        <v>1587</v>
      </c>
    </row>
    <row r="18" spans="1:14" x14ac:dyDescent="0.25">
      <c r="A18" t="s">
        <v>680</v>
      </c>
      <c r="B18" t="str">
        <f t="shared" si="0"/>
        <v>p__Actinomycetota</v>
      </c>
      <c r="C18" s="1">
        <v>46</v>
      </c>
      <c r="D18" s="3">
        <v>2583338</v>
      </c>
      <c r="E18" s="3">
        <f t="shared" si="1"/>
        <v>2.5833379999999999</v>
      </c>
      <c r="F18" s="1">
        <v>2476</v>
      </c>
      <c r="G18" s="2">
        <v>56159.5</v>
      </c>
      <c r="H18" s="1">
        <v>228728</v>
      </c>
      <c r="M18" t="s">
        <v>680</v>
      </c>
      <c r="N18" t="s">
        <v>1587</v>
      </c>
    </row>
    <row r="19" spans="1:14" x14ac:dyDescent="0.25">
      <c r="A19" t="s">
        <v>681</v>
      </c>
      <c r="B19" t="str">
        <f t="shared" si="0"/>
        <v>p__Actinomycetota</v>
      </c>
      <c r="C19" s="1">
        <v>31</v>
      </c>
      <c r="D19" s="3">
        <v>1547065</v>
      </c>
      <c r="E19" s="3">
        <f t="shared" si="1"/>
        <v>1.5470649999999999</v>
      </c>
      <c r="F19" s="1">
        <v>2915</v>
      </c>
      <c r="G19" s="2">
        <v>49905.3</v>
      </c>
      <c r="H19" s="1">
        <v>251516</v>
      </c>
      <c r="M19" t="s">
        <v>681</v>
      </c>
      <c r="N19" t="s">
        <v>1587</v>
      </c>
    </row>
    <row r="20" spans="1:14" x14ac:dyDescent="0.25">
      <c r="A20" t="s">
        <v>682</v>
      </c>
      <c r="B20" t="str">
        <f t="shared" si="0"/>
        <v>p__Actinomycetota</v>
      </c>
      <c r="C20" s="1">
        <v>9</v>
      </c>
      <c r="D20" s="3">
        <v>1940314</v>
      </c>
      <c r="E20" s="3">
        <f t="shared" si="1"/>
        <v>1.9403140000000001</v>
      </c>
      <c r="F20" s="1">
        <v>8110</v>
      </c>
      <c r="G20" s="2">
        <v>215590.39999999999</v>
      </c>
      <c r="H20" s="1">
        <v>601048</v>
      </c>
      <c r="M20" t="s">
        <v>682</v>
      </c>
      <c r="N20" t="s">
        <v>1587</v>
      </c>
    </row>
    <row r="21" spans="1:14" x14ac:dyDescent="0.25">
      <c r="A21" t="s">
        <v>683</v>
      </c>
      <c r="B21" t="str">
        <f t="shared" si="0"/>
        <v>p__Actinomycetota</v>
      </c>
      <c r="C21" s="1">
        <v>27</v>
      </c>
      <c r="D21" s="3">
        <v>2133482</v>
      </c>
      <c r="E21" s="3">
        <f t="shared" si="1"/>
        <v>2.1334819999999999</v>
      </c>
      <c r="F21" s="1">
        <v>2775</v>
      </c>
      <c r="G21" s="2">
        <v>79017.899999999994</v>
      </c>
      <c r="H21" s="1">
        <v>496287</v>
      </c>
      <c r="M21" t="s">
        <v>683</v>
      </c>
      <c r="N21" t="s">
        <v>1587</v>
      </c>
    </row>
    <row r="22" spans="1:14" x14ac:dyDescent="0.25">
      <c r="A22" t="s">
        <v>684</v>
      </c>
      <c r="B22" t="str">
        <f t="shared" si="0"/>
        <v>p__Actinomycetota</v>
      </c>
      <c r="C22" s="1">
        <v>47</v>
      </c>
      <c r="D22" s="3">
        <v>1837908</v>
      </c>
      <c r="E22" s="3">
        <f t="shared" si="1"/>
        <v>1.8379080000000001</v>
      </c>
      <c r="F22" s="1">
        <v>2024</v>
      </c>
      <c r="G22" s="2">
        <v>39104.400000000001</v>
      </c>
      <c r="H22" s="1">
        <v>964972</v>
      </c>
      <c r="M22" t="s">
        <v>684</v>
      </c>
      <c r="N22" t="s">
        <v>1587</v>
      </c>
    </row>
    <row r="23" spans="1:14" x14ac:dyDescent="0.25">
      <c r="A23" t="s">
        <v>685</v>
      </c>
      <c r="B23" t="str">
        <f t="shared" si="0"/>
        <v>p__Actinomycetota</v>
      </c>
      <c r="C23" s="1">
        <v>116</v>
      </c>
      <c r="D23" s="3">
        <v>1467332</v>
      </c>
      <c r="E23" s="3">
        <f t="shared" si="1"/>
        <v>1.4673320000000001</v>
      </c>
      <c r="F23" s="2">
        <v>2014</v>
      </c>
      <c r="G23" s="1">
        <v>12649.4</v>
      </c>
      <c r="H23" s="1">
        <v>182104</v>
      </c>
      <c r="M23" t="s">
        <v>685</v>
      </c>
      <c r="N23" t="s">
        <v>1587</v>
      </c>
    </row>
    <row r="24" spans="1:14" x14ac:dyDescent="0.25">
      <c r="A24" t="s">
        <v>1092</v>
      </c>
      <c r="B24" t="str">
        <f t="shared" si="0"/>
        <v>p__Actinomycetota</v>
      </c>
      <c r="C24" s="1">
        <v>9</v>
      </c>
      <c r="D24" s="3">
        <v>2089365</v>
      </c>
      <c r="E24" s="3">
        <f t="shared" si="1"/>
        <v>2.0893649999999999</v>
      </c>
      <c r="F24" s="1">
        <v>2342</v>
      </c>
      <c r="G24" s="2">
        <v>232151.7</v>
      </c>
      <c r="H24" s="1">
        <v>2049854</v>
      </c>
      <c r="M24" t="s">
        <v>1092</v>
      </c>
      <c r="N24" t="s">
        <v>1587</v>
      </c>
    </row>
    <row r="25" spans="1:14" x14ac:dyDescent="0.25">
      <c r="A25" t="s">
        <v>1093</v>
      </c>
      <c r="B25" t="str">
        <f t="shared" si="0"/>
        <v>p__Actinomycetota</v>
      </c>
      <c r="C25" s="1">
        <v>207</v>
      </c>
      <c r="D25" s="3">
        <v>2091568</v>
      </c>
      <c r="E25" s="3">
        <f t="shared" si="1"/>
        <v>2.0915680000000001</v>
      </c>
      <c r="F25" s="2">
        <v>2003</v>
      </c>
      <c r="G25" s="1">
        <v>10104.200000000001</v>
      </c>
      <c r="H25" s="1">
        <v>123145</v>
      </c>
      <c r="M25" t="s">
        <v>1093</v>
      </c>
      <c r="N25" t="s">
        <v>1587</v>
      </c>
    </row>
    <row r="26" spans="1:14" x14ac:dyDescent="0.25">
      <c r="A26" t="s">
        <v>1094</v>
      </c>
      <c r="B26" t="str">
        <f t="shared" si="0"/>
        <v>p__Actinomycetota</v>
      </c>
      <c r="C26" s="1">
        <v>304</v>
      </c>
      <c r="D26" s="3">
        <v>2931526</v>
      </c>
      <c r="E26" s="3">
        <f t="shared" si="1"/>
        <v>2.9315259999999999</v>
      </c>
      <c r="F26" s="2">
        <v>2004</v>
      </c>
      <c r="G26" s="1">
        <v>9643.2000000000007</v>
      </c>
      <c r="H26" s="1">
        <v>226681</v>
      </c>
      <c r="M26" t="s">
        <v>1094</v>
      </c>
      <c r="N26" t="s">
        <v>1587</v>
      </c>
    </row>
    <row r="27" spans="1:14" x14ac:dyDescent="0.25">
      <c r="A27" t="s">
        <v>1095</v>
      </c>
      <c r="B27" t="str">
        <f t="shared" si="0"/>
        <v>p__Actinomycetota</v>
      </c>
      <c r="C27" s="1">
        <v>195</v>
      </c>
      <c r="D27" s="3">
        <v>2222643</v>
      </c>
      <c r="E27" s="3">
        <f t="shared" si="1"/>
        <v>2.2226430000000001</v>
      </c>
      <c r="F27" s="2">
        <v>2016</v>
      </c>
      <c r="G27" s="1">
        <v>11398.2</v>
      </c>
      <c r="H27" s="1">
        <v>145915</v>
      </c>
      <c r="M27" t="s">
        <v>1095</v>
      </c>
      <c r="N27" t="s">
        <v>1587</v>
      </c>
    </row>
    <row r="28" spans="1:14" x14ac:dyDescent="0.25">
      <c r="A28" t="s">
        <v>1096</v>
      </c>
      <c r="B28" t="str">
        <f t="shared" si="0"/>
        <v>p__Actinomycetota</v>
      </c>
      <c r="C28" s="1">
        <v>12</v>
      </c>
      <c r="D28" s="3">
        <v>1874355</v>
      </c>
      <c r="E28" s="3">
        <f t="shared" si="1"/>
        <v>1.874355</v>
      </c>
      <c r="F28" s="1">
        <v>6519</v>
      </c>
      <c r="G28" s="2">
        <v>156196.29999999999</v>
      </c>
      <c r="H28" s="1">
        <v>820128</v>
      </c>
      <c r="M28" t="s">
        <v>1096</v>
      </c>
      <c r="N28" t="s">
        <v>1587</v>
      </c>
    </row>
    <row r="29" spans="1:14" x14ac:dyDescent="0.25">
      <c r="A29" t="s">
        <v>1097</v>
      </c>
      <c r="B29" t="str">
        <f t="shared" si="0"/>
        <v>p__Actinomycetota</v>
      </c>
      <c r="C29" s="1">
        <v>22</v>
      </c>
      <c r="D29" s="3">
        <v>2433470</v>
      </c>
      <c r="E29" s="3">
        <f t="shared" si="1"/>
        <v>2.4334699999999998</v>
      </c>
      <c r="F29" s="1">
        <v>3173</v>
      </c>
      <c r="G29" s="2">
        <v>110612.3</v>
      </c>
      <c r="H29" s="1">
        <v>605908</v>
      </c>
      <c r="M29" t="s">
        <v>1097</v>
      </c>
      <c r="N29" t="s">
        <v>1587</v>
      </c>
    </row>
    <row r="30" spans="1:14" x14ac:dyDescent="0.25">
      <c r="A30" t="s">
        <v>1098</v>
      </c>
      <c r="B30" t="str">
        <f t="shared" si="0"/>
        <v>p__Actinomycetota</v>
      </c>
      <c r="C30" s="1">
        <v>14</v>
      </c>
      <c r="D30" s="3">
        <v>1384621</v>
      </c>
      <c r="E30" s="3">
        <f t="shared" si="1"/>
        <v>1.3846210000000001</v>
      </c>
      <c r="F30" s="1">
        <v>19197</v>
      </c>
      <c r="G30" s="2">
        <v>98901.5</v>
      </c>
      <c r="H30" s="1">
        <v>506170</v>
      </c>
      <c r="M30" t="s">
        <v>1098</v>
      </c>
      <c r="N30" t="s">
        <v>1587</v>
      </c>
    </row>
    <row r="31" spans="1:14" x14ac:dyDescent="0.25">
      <c r="A31" t="s">
        <v>1099</v>
      </c>
      <c r="B31" t="str">
        <f t="shared" si="0"/>
        <v>p__Actinomycetota</v>
      </c>
      <c r="C31" s="1">
        <v>348</v>
      </c>
      <c r="D31" s="3">
        <v>2669961</v>
      </c>
      <c r="E31" s="3">
        <f t="shared" si="1"/>
        <v>2.6699609999999998</v>
      </c>
      <c r="F31" s="2">
        <v>2001</v>
      </c>
      <c r="G31" s="1">
        <v>7672.3</v>
      </c>
      <c r="H31" s="1">
        <v>182335</v>
      </c>
      <c r="M31" t="s">
        <v>1099</v>
      </c>
      <c r="N31" t="s">
        <v>1587</v>
      </c>
    </row>
    <row r="32" spans="1:14" x14ac:dyDescent="0.25">
      <c r="A32" t="s">
        <v>42</v>
      </c>
      <c r="B32" t="str">
        <f t="shared" si="0"/>
        <v>p__Bacillota</v>
      </c>
      <c r="C32" s="1">
        <v>702</v>
      </c>
      <c r="D32" s="3">
        <v>4107153</v>
      </c>
      <c r="E32" s="3">
        <f t="shared" si="1"/>
        <v>4.1071530000000003</v>
      </c>
      <c r="F32" s="2">
        <v>2000</v>
      </c>
      <c r="G32" s="1">
        <v>5850.6</v>
      </c>
      <c r="H32" s="1">
        <v>66778</v>
      </c>
      <c r="M32" t="s">
        <v>42</v>
      </c>
      <c r="N32" t="s">
        <v>1588</v>
      </c>
    </row>
    <row r="33" spans="1:14" x14ac:dyDescent="0.25">
      <c r="A33" t="s">
        <v>43</v>
      </c>
      <c r="B33" t="str">
        <f t="shared" si="0"/>
        <v>p__Bacillota</v>
      </c>
      <c r="C33" s="1">
        <v>375</v>
      </c>
      <c r="D33" s="3">
        <v>3840087</v>
      </c>
      <c r="E33" s="3">
        <f t="shared" si="1"/>
        <v>3.840087</v>
      </c>
      <c r="F33" s="2">
        <v>2016</v>
      </c>
      <c r="G33" s="1">
        <v>10240.200000000001</v>
      </c>
      <c r="H33" s="1">
        <v>100502</v>
      </c>
      <c r="M33" t="s">
        <v>43</v>
      </c>
      <c r="N33" t="s">
        <v>1588</v>
      </c>
    </row>
    <row r="34" spans="1:14" x14ac:dyDescent="0.25">
      <c r="A34" t="s">
        <v>44</v>
      </c>
      <c r="B34" t="str">
        <f t="shared" si="0"/>
        <v>p__Bacillota</v>
      </c>
      <c r="C34" s="1">
        <v>203</v>
      </c>
      <c r="D34" s="3">
        <v>1830308</v>
      </c>
      <c r="E34" s="3">
        <f t="shared" si="1"/>
        <v>1.830308</v>
      </c>
      <c r="F34" s="2">
        <v>2005</v>
      </c>
      <c r="G34" s="1">
        <v>9016.2999999999993</v>
      </c>
      <c r="H34" s="1">
        <v>44371</v>
      </c>
      <c r="M34" t="s">
        <v>44</v>
      </c>
      <c r="N34" t="s">
        <v>1588</v>
      </c>
    </row>
    <row r="35" spans="1:14" x14ac:dyDescent="0.25">
      <c r="A35" t="s">
        <v>45</v>
      </c>
      <c r="B35" t="str">
        <f t="shared" si="0"/>
        <v>p__Bacillota</v>
      </c>
      <c r="C35" s="1">
        <v>128</v>
      </c>
      <c r="D35" s="3">
        <v>1959592</v>
      </c>
      <c r="E35" s="3">
        <f t="shared" si="1"/>
        <v>1.959592</v>
      </c>
      <c r="F35" s="2">
        <v>2564</v>
      </c>
      <c r="G35" s="1">
        <v>15309.3</v>
      </c>
      <c r="H35" s="1">
        <v>78138</v>
      </c>
      <c r="M35" t="s">
        <v>45</v>
      </c>
      <c r="N35" t="s">
        <v>1588</v>
      </c>
    </row>
    <row r="36" spans="1:14" x14ac:dyDescent="0.25">
      <c r="A36" t="s">
        <v>407</v>
      </c>
      <c r="B36" t="str">
        <f t="shared" si="0"/>
        <v>p__Bacillota</v>
      </c>
      <c r="C36" s="1">
        <v>13</v>
      </c>
      <c r="D36" s="3">
        <v>2543102</v>
      </c>
      <c r="E36" s="3">
        <f t="shared" si="1"/>
        <v>2.5431020000000002</v>
      </c>
      <c r="F36" s="1">
        <v>6199</v>
      </c>
      <c r="G36" s="2">
        <v>195623.2</v>
      </c>
      <c r="H36" s="1">
        <v>989800</v>
      </c>
      <c r="M36" t="s">
        <v>407</v>
      </c>
      <c r="N36" t="s">
        <v>1588</v>
      </c>
    </row>
    <row r="37" spans="1:14" x14ac:dyDescent="0.25">
      <c r="A37" t="s">
        <v>408</v>
      </c>
      <c r="B37" t="str">
        <f t="shared" si="0"/>
        <v>p__Bacillota</v>
      </c>
      <c r="C37" s="1">
        <v>138</v>
      </c>
      <c r="D37" s="3">
        <v>1726428</v>
      </c>
      <c r="E37" s="3">
        <f t="shared" si="1"/>
        <v>1.7264280000000001</v>
      </c>
      <c r="F37" s="2">
        <v>2004</v>
      </c>
      <c r="G37" s="1">
        <v>12510.3</v>
      </c>
      <c r="H37" s="1">
        <v>128165</v>
      </c>
      <c r="M37" t="s">
        <v>408</v>
      </c>
      <c r="N37" t="s">
        <v>1588</v>
      </c>
    </row>
    <row r="38" spans="1:14" x14ac:dyDescent="0.25">
      <c r="A38" t="s">
        <v>409</v>
      </c>
      <c r="B38" t="str">
        <f t="shared" si="0"/>
        <v>p__Bacillota</v>
      </c>
      <c r="C38" s="1">
        <v>74</v>
      </c>
      <c r="D38" s="3">
        <v>2855398</v>
      </c>
      <c r="E38" s="3">
        <f t="shared" si="1"/>
        <v>2.8553980000000001</v>
      </c>
      <c r="F38" s="1">
        <v>2082</v>
      </c>
      <c r="G38" s="2">
        <v>38586.5</v>
      </c>
      <c r="H38" s="1">
        <v>232881</v>
      </c>
      <c r="M38" t="s">
        <v>409</v>
      </c>
      <c r="N38" t="s">
        <v>1588</v>
      </c>
    </row>
    <row r="39" spans="1:14" x14ac:dyDescent="0.25">
      <c r="A39" t="s">
        <v>410</v>
      </c>
      <c r="B39" t="str">
        <f t="shared" si="0"/>
        <v>p__Bacillota</v>
      </c>
      <c r="C39" s="1">
        <v>29</v>
      </c>
      <c r="D39" s="3">
        <v>1370072</v>
      </c>
      <c r="E39" s="3">
        <f t="shared" si="1"/>
        <v>1.370072</v>
      </c>
      <c r="F39" s="1">
        <v>2827</v>
      </c>
      <c r="G39" s="2">
        <v>47243.9</v>
      </c>
      <c r="H39" s="1">
        <v>255317</v>
      </c>
      <c r="M39" t="s">
        <v>410</v>
      </c>
      <c r="N39" t="s">
        <v>1588</v>
      </c>
    </row>
    <row r="40" spans="1:14" x14ac:dyDescent="0.25">
      <c r="A40" t="s">
        <v>411</v>
      </c>
      <c r="B40" t="str">
        <f t="shared" si="0"/>
        <v>p__Bacillota</v>
      </c>
      <c r="C40" s="1">
        <v>42</v>
      </c>
      <c r="D40" s="3">
        <v>2866240</v>
      </c>
      <c r="E40" s="3">
        <f t="shared" si="1"/>
        <v>2.8662399999999999</v>
      </c>
      <c r="F40" s="1">
        <v>2020</v>
      </c>
      <c r="G40" s="2">
        <v>68243.8</v>
      </c>
      <c r="H40" s="1">
        <v>374455</v>
      </c>
      <c r="M40" t="s">
        <v>411</v>
      </c>
      <c r="N40" t="s">
        <v>1588</v>
      </c>
    </row>
    <row r="41" spans="1:14" x14ac:dyDescent="0.25">
      <c r="A41" t="s">
        <v>412</v>
      </c>
      <c r="B41" t="str">
        <f t="shared" si="0"/>
        <v>p__Bacillota</v>
      </c>
      <c r="C41" s="1">
        <v>25</v>
      </c>
      <c r="D41" s="3">
        <v>2481076</v>
      </c>
      <c r="E41" s="3">
        <f t="shared" si="1"/>
        <v>2.4810759999999998</v>
      </c>
      <c r="F41" s="1">
        <v>2675</v>
      </c>
      <c r="G41" s="1">
        <v>99243</v>
      </c>
      <c r="H41" s="1">
        <v>595456</v>
      </c>
      <c r="M41" t="s">
        <v>412</v>
      </c>
      <c r="N41" t="s">
        <v>1588</v>
      </c>
    </row>
    <row r="42" spans="1:14" x14ac:dyDescent="0.25">
      <c r="A42" t="s">
        <v>413</v>
      </c>
      <c r="B42" t="str">
        <f t="shared" si="0"/>
        <v>p__Bacillota</v>
      </c>
      <c r="C42" s="1">
        <v>315</v>
      </c>
      <c r="D42" s="3">
        <v>1840459</v>
      </c>
      <c r="E42" s="3">
        <f t="shared" si="1"/>
        <v>1.8404590000000001</v>
      </c>
      <c r="F42" s="2">
        <v>2001</v>
      </c>
      <c r="G42" s="1">
        <v>5842.7</v>
      </c>
      <c r="H42" s="1">
        <v>77987</v>
      </c>
      <c r="M42" t="s">
        <v>413</v>
      </c>
      <c r="N42" t="s">
        <v>1588</v>
      </c>
    </row>
    <row r="43" spans="1:14" x14ac:dyDescent="0.25">
      <c r="A43" t="s">
        <v>414</v>
      </c>
      <c r="B43" t="str">
        <f t="shared" si="0"/>
        <v>p__Bacillota</v>
      </c>
      <c r="C43" s="1">
        <v>186</v>
      </c>
      <c r="D43" s="3">
        <v>1582840</v>
      </c>
      <c r="E43" s="3">
        <f t="shared" si="1"/>
        <v>1.58284</v>
      </c>
      <c r="F43" s="2">
        <v>2012</v>
      </c>
      <c r="G43" s="1">
        <v>8509.9</v>
      </c>
      <c r="H43" s="1">
        <v>51038</v>
      </c>
      <c r="M43" t="s">
        <v>414</v>
      </c>
      <c r="N43" t="s">
        <v>1588</v>
      </c>
    </row>
    <row r="44" spans="1:14" x14ac:dyDescent="0.25">
      <c r="A44" t="s">
        <v>415</v>
      </c>
      <c r="B44" t="str">
        <f t="shared" si="0"/>
        <v>p__Bacillota</v>
      </c>
      <c r="C44" s="1">
        <v>69</v>
      </c>
      <c r="D44" s="3">
        <v>2959152</v>
      </c>
      <c r="E44" s="3">
        <f t="shared" si="1"/>
        <v>2.959152</v>
      </c>
      <c r="F44" s="1">
        <v>2049</v>
      </c>
      <c r="G44" s="2">
        <v>42886.3</v>
      </c>
      <c r="H44" s="1">
        <v>248374</v>
      </c>
      <c r="M44" t="s">
        <v>415</v>
      </c>
      <c r="N44" t="s">
        <v>1588</v>
      </c>
    </row>
    <row r="45" spans="1:14" x14ac:dyDescent="0.25">
      <c r="A45" t="s">
        <v>416</v>
      </c>
      <c r="B45" t="str">
        <f t="shared" si="0"/>
        <v>p__Bacillota</v>
      </c>
      <c r="C45" s="1">
        <v>4</v>
      </c>
      <c r="D45" s="3">
        <v>2482324</v>
      </c>
      <c r="E45" s="3">
        <f t="shared" si="1"/>
        <v>2.4823240000000002</v>
      </c>
      <c r="F45" s="1">
        <v>22770</v>
      </c>
      <c r="G45" s="1">
        <v>620581</v>
      </c>
      <c r="H45" s="1">
        <v>1346931</v>
      </c>
      <c r="M45" t="s">
        <v>416</v>
      </c>
      <c r="N45" t="s">
        <v>1588</v>
      </c>
    </row>
    <row r="46" spans="1:14" x14ac:dyDescent="0.25">
      <c r="A46" t="s">
        <v>417</v>
      </c>
      <c r="B46" t="str">
        <f t="shared" si="0"/>
        <v>p__Bacillota</v>
      </c>
      <c r="C46" s="1">
        <v>256</v>
      </c>
      <c r="D46" s="3">
        <v>2074633</v>
      </c>
      <c r="E46" s="3">
        <f t="shared" si="1"/>
        <v>2.0746329999999999</v>
      </c>
      <c r="F46" s="1">
        <v>2012</v>
      </c>
      <c r="G46" s="1">
        <v>8104</v>
      </c>
      <c r="H46" s="1">
        <v>63330</v>
      </c>
      <c r="M46" t="s">
        <v>417</v>
      </c>
      <c r="N46" t="s">
        <v>1588</v>
      </c>
    </row>
    <row r="47" spans="1:14" x14ac:dyDescent="0.25">
      <c r="A47" t="s">
        <v>418</v>
      </c>
      <c r="B47" t="str">
        <f t="shared" si="0"/>
        <v>p__Bacillota</v>
      </c>
      <c r="C47" s="1">
        <v>279</v>
      </c>
      <c r="D47" s="3">
        <v>1520089</v>
      </c>
      <c r="E47" s="3">
        <f t="shared" si="1"/>
        <v>1.520089</v>
      </c>
      <c r="F47" s="2">
        <v>2024</v>
      </c>
      <c r="G47" s="1">
        <v>5448.3</v>
      </c>
      <c r="H47" s="1">
        <v>43798</v>
      </c>
      <c r="M47" t="s">
        <v>418</v>
      </c>
      <c r="N47" t="s">
        <v>1588</v>
      </c>
    </row>
    <row r="48" spans="1:14" x14ac:dyDescent="0.25">
      <c r="A48" t="s">
        <v>419</v>
      </c>
      <c r="B48" t="str">
        <f t="shared" si="0"/>
        <v>p__Bacillota</v>
      </c>
      <c r="C48" s="1">
        <v>59</v>
      </c>
      <c r="D48" s="3">
        <v>1565905</v>
      </c>
      <c r="E48" s="3">
        <f t="shared" si="1"/>
        <v>1.5659050000000001</v>
      </c>
      <c r="F48" s="1">
        <v>2012</v>
      </c>
      <c r="G48" s="2">
        <v>26540.799999999999</v>
      </c>
      <c r="H48" s="1">
        <v>118984</v>
      </c>
      <c r="M48" t="s">
        <v>419</v>
      </c>
      <c r="N48" t="s">
        <v>1588</v>
      </c>
    </row>
    <row r="49" spans="1:14" x14ac:dyDescent="0.25">
      <c r="A49" t="s">
        <v>420</v>
      </c>
      <c r="B49" t="str">
        <f t="shared" si="0"/>
        <v>p__Bacillota</v>
      </c>
      <c r="C49" s="1">
        <v>62</v>
      </c>
      <c r="D49" s="3">
        <v>1704398</v>
      </c>
      <c r="E49" s="3">
        <f t="shared" si="1"/>
        <v>1.7043980000000001</v>
      </c>
      <c r="F49" s="1">
        <v>2067</v>
      </c>
      <c r="G49" s="2">
        <v>27490.3</v>
      </c>
      <c r="H49" s="1">
        <v>223927</v>
      </c>
      <c r="M49" t="s">
        <v>420</v>
      </c>
      <c r="N49" t="s">
        <v>1588</v>
      </c>
    </row>
    <row r="50" spans="1:14" x14ac:dyDescent="0.25">
      <c r="A50" t="s">
        <v>421</v>
      </c>
      <c r="B50" t="str">
        <f t="shared" si="0"/>
        <v>p__Bacillota</v>
      </c>
      <c r="C50" s="1">
        <v>14</v>
      </c>
      <c r="D50" s="3">
        <v>2755989</v>
      </c>
      <c r="E50" s="3">
        <f t="shared" si="1"/>
        <v>2.755989</v>
      </c>
      <c r="F50" s="1">
        <v>3328</v>
      </c>
      <c r="G50" s="2">
        <v>196856.4</v>
      </c>
      <c r="H50" s="1">
        <v>879408</v>
      </c>
      <c r="M50" t="s">
        <v>421</v>
      </c>
      <c r="N50" t="s">
        <v>1588</v>
      </c>
    </row>
    <row r="51" spans="1:14" x14ac:dyDescent="0.25">
      <c r="A51" t="s">
        <v>422</v>
      </c>
      <c r="B51" t="str">
        <f t="shared" si="0"/>
        <v>p__Bacillota</v>
      </c>
      <c r="C51" s="1">
        <v>99</v>
      </c>
      <c r="D51" s="3">
        <v>1474205</v>
      </c>
      <c r="E51" s="3">
        <f t="shared" si="1"/>
        <v>1.474205</v>
      </c>
      <c r="F51" s="1">
        <v>2014</v>
      </c>
      <c r="G51" s="1">
        <v>14891</v>
      </c>
      <c r="H51" s="1">
        <v>133582</v>
      </c>
      <c r="M51" t="s">
        <v>422</v>
      </c>
      <c r="N51" t="s">
        <v>1588</v>
      </c>
    </row>
    <row r="52" spans="1:14" x14ac:dyDescent="0.25">
      <c r="A52" t="s">
        <v>423</v>
      </c>
      <c r="B52" t="str">
        <f t="shared" si="0"/>
        <v>p__Bacillota</v>
      </c>
      <c r="C52" s="1">
        <v>41</v>
      </c>
      <c r="D52" s="3">
        <v>1429128</v>
      </c>
      <c r="E52" s="3">
        <f t="shared" si="1"/>
        <v>1.429128</v>
      </c>
      <c r="F52" s="1">
        <v>2532</v>
      </c>
      <c r="G52" s="2">
        <v>34856.800000000003</v>
      </c>
      <c r="H52" s="1">
        <v>252925</v>
      </c>
      <c r="M52" t="s">
        <v>423</v>
      </c>
      <c r="N52" t="s">
        <v>1588</v>
      </c>
    </row>
    <row r="53" spans="1:14" x14ac:dyDescent="0.25">
      <c r="A53" t="s">
        <v>424</v>
      </c>
      <c r="B53" t="str">
        <f t="shared" si="0"/>
        <v>p__Bacillota</v>
      </c>
      <c r="C53" s="1">
        <v>14</v>
      </c>
      <c r="D53" s="3">
        <v>2516867</v>
      </c>
      <c r="E53" s="3">
        <f t="shared" si="1"/>
        <v>2.516867</v>
      </c>
      <c r="F53" s="1">
        <v>3021</v>
      </c>
      <c r="G53" s="2">
        <v>179776.2</v>
      </c>
      <c r="H53" s="1">
        <v>871241</v>
      </c>
      <c r="M53" t="s">
        <v>424</v>
      </c>
      <c r="N53" t="s">
        <v>1588</v>
      </c>
    </row>
    <row r="54" spans="1:14" x14ac:dyDescent="0.25">
      <c r="A54" t="s">
        <v>425</v>
      </c>
      <c r="B54" t="str">
        <f t="shared" si="0"/>
        <v>p__Bacillota</v>
      </c>
      <c r="C54" s="1">
        <v>22</v>
      </c>
      <c r="D54" s="3">
        <v>2093593</v>
      </c>
      <c r="E54" s="3">
        <f t="shared" si="1"/>
        <v>2.0935929999999998</v>
      </c>
      <c r="F54" s="1">
        <v>2214</v>
      </c>
      <c r="G54" s="2">
        <v>95163.3</v>
      </c>
      <c r="H54" s="1">
        <v>793527</v>
      </c>
      <c r="M54" t="s">
        <v>425</v>
      </c>
      <c r="N54" t="s">
        <v>1588</v>
      </c>
    </row>
    <row r="55" spans="1:14" x14ac:dyDescent="0.25">
      <c r="A55" t="s">
        <v>426</v>
      </c>
      <c r="B55" t="str">
        <f t="shared" si="0"/>
        <v>p__Bacillota</v>
      </c>
      <c r="C55" s="1">
        <v>135</v>
      </c>
      <c r="D55" s="3">
        <v>1623718</v>
      </c>
      <c r="E55" s="3">
        <f t="shared" si="1"/>
        <v>1.623718</v>
      </c>
      <c r="F55" s="2">
        <v>2003</v>
      </c>
      <c r="G55" s="1">
        <v>12027.5</v>
      </c>
      <c r="H55" s="1">
        <v>146894</v>
      </c>
      <c r="M55" t="s">
        <v>426</v>
      </c>
      <c r="N55" t="s">
        <v>1588</v>
      </c>
    </row>
    <row r="56" spans="1:14" x14ac:dyDescent="0.25">
      <c r="A56" t="s">
        <v>427</v>
      </c>
      <c r="B56" t="str">
        <f t="shared" si="0"/>
        <v>p__Bacillota</v>
      </c>
      <c r="C56" s="1">
        <v>41</v>
      </c>
      <c r="D56" s="3">
        <v>2140462</v>
      </c>
      <c r="E56" s="3">
        <f t="shared" si="1"/>
        <v>2.1404619999999999</v>
      </c>
      <c r="F56" s="1">
        <v>2124</v>
      </c>
      <c r="G56" s="2">
        <v>52206.400000000001</v>
      </c>
      <c r="H56" s="1">
        <v>547657</v>
      </c>
      <c r="M56" t="s">
        <v>427</v>
      </c>
      <c r="N56" t="s">
        <v>1588</v>
      </c>
    </row>
    <row r="57" spans="1:14" x14ac:dyDescent="0.25">
      <c r="A57" t="s">
        <v>428</v>
      </c>
      <c r="B57" t="str">
        <f t="shared" si="0"/>
        <v>p__Bacillota</v>
      </c>
      <c r="C57" s="1">
        <v>13</v>
      </c>
      <c r="D57" s="3">
        <v>1949748</v>
      </c>
      <c r="E57" s="3">
        <f t="shared" si="1"/>
        <v>1.949748</v>
      </c>
      <c r="F57" s="1">
        <v>2016</v>
      </c>
      <c r="G57" s="2">
        <v>149980.6</v>
      </c>
      <c r="H57" s="1">
        <v>1501803</v>
      </c>
      <c r="M57" t="s">
        <v>428</v>
      </c>
      <c r="N57" t="s">
        <v>1588</v>
      </c>
    </row>
    <row r="58" spans="1:14" x14ac:dyDescent="0.25">
      <c r="A58" t="s">
        <v>429</v>
      </c>
      <c r="B58" t="str">
        <f t="shared" si="0"/>
        <v>p__Bacillota</v>
      </c>
      <c r="C58" s="1">
        <v>85</v>
      </c>
      <c r="D58" s="3">
        <v>2658475</v>
      </c>
      <c r="E58" s="3">
        <f t="shared" si="1"/>
        <v>2.6584750000000001</v>
      </c>
      <c r="F58" s="1">
        <v>2227</v>
      </c>
      <c r="G58" s="2">
        <v>31276.2</v>
      </c>
      <c r="H58" s="1">
        <v>183121</v>
      </c>
      <c r="M58" t="s">
        <v>429</v>
      </c>
      <c r="N58" t="s">
        <v>1588</v>
      </c>
    </row>
    <row r="59" spans="1:14" x14ac:dyDescent="0.25">
      <c r="A59" t="s">
        <v>430</v>
      </c>
      <c r="B59" t="str">
        <f t="shared" si="0"/>
        <v>p__Bacillota</v>
      </c>
      <c r="C59" s="1">
        <v>236</v>
      </c>
      <c r="D59" s="3">
        <v>2597884</v>
      </c>
      <c r="E59" s="3">
        <f t="shared" si="1"/>
        <v>2.5978840000000001</v>
      </c>
      <c r="F59" s="1">
        <v>2000</v>
      </c>
      <c r="G59" s="1">
        <v>11008</v>
      </c>
      <c r="H59" s="1">
        <v>125274</v>
      </c>
      <c r="M59" t="s">
        <v>430</v>
      </c>
      <c r="N59" t="s">
        <v>1588</v>
      </c>
    </row>
    <row r="60" spans="1:14" x14ac:dyDescent="0.25">
      <c r="A60" t="s">
        <v>686</v>
      </c>
      <c r="B60" t="str">
        <f t="shared" si="0"/>
        <v>p__Bacillota</v>
      </c>
      <c r="C60" s="1">
        <v>23</v>
      </c>
      <c r="D60" s="3">
        <v>2073266</v>
      </c>
      <c r="E60" s="3">
        <f t="shared" si="1"/>
        <v>2.0732659999999998</v>
      </c>
      <c r="F60" s="1">
        <v>8236</v>
      </c>
      <c r="G60" s="1">
        <v>90142</v>
      </c>
      <c r="H60" s="1">
        <v>223880</v>
      </c>
      <c r="M60" t="s">
        <v>686</v>
      </c>
      <c r="N60" t="s">
        <v>1588</v>
      </c>
    </row>
    <row r="61" spans="1:14" x14ac:dyDescent="0.25">
      <c r="A61" t="s">
        <v>687</v>
      </c>
      <c r="B61" t="str">
        <f t="shared" si="0"/>
        <v>p__Bacillota</v>
      </c>
      <c r="C61" s="1">
        <v>9</v>
      </c>
      <c r="D61" s="3">
        <v>1902446</v>
      </c>
      <c r="E61" s="3">
        <f t="shared" si="1"/>
        <v>1.9024460000000001</v>
      </c>
      <c r="F61" s="1">
        <v>50018</v>
      </c>
      <c r="G61" s="2">
        <v>211382.9</v>
      </c>
      <c r="H61" s="1">
        <v>550925</v>
      </c>
      <c r="M61" t="s">
        <v>687</v>
      </c>
      <c r="N61" t="s">
        <v>1588</v>
      </c>
    </row>
    <row r="62" spans="1:14" x14ac:dyDescent="0.25">
      <c r="A62" t="s">
        <v>688</v>
      </c>
      <c r="B62" t="str">
        <f t="shared" si="0"/>
        <v>p__Bacillota</v>
      </c>
      <c r="C62" s="1">
        <v>35</v>
      </c>
      <c r="D62" s="3">
        <v>2920587</v>
      </c>
      <c r="E62" s="3">
        <f t="shared" si="1"/>
        <v>2.9205869999999998</v>
      </c>
      <c r="F62" s="1">
        <v>5938</v>
      </c>
      <c r="G62" s="2">
        <v>83445.3</v>
      </c>
      <c r="H62" s="1">
        <v>463614</v>
      </c>
      <c r="M62" t="s">
        <v>688</v>
      </c>
      <c r="N62" t="s">
        <v>1588</v>
      </c>
    </row>
    <row r="63" spans="1:14" x14ac:dyDescent="0.25">
      <c r="A63" t="s">
        <v>689</v>
      </c>
      <c r="B63" t="str">
        <f t="shared" si="0"/>
        <v>p__Bacillota</v>
      </c>
      <c r="C63" s="1">
        <v>20</v>
      </c>
      <c r="D63" s="3">
        <v>2721137</v>
      </c>
      <c r="E63" s="3">
        <f t="shared" si="1"/>
        <v>2.7211370000000001</v>
      </c>
      <c r="F63" s="1">
        <v>3455</v>
      </c>
      <c r="G63" s="2">
        <v>136056.9</v>
      </c>
      <c r="H63" s="1">
        <v>635239</v>
      </c>
      <c r="M63" t="s">
        <v>689</v>
      </c>
      <c r="N63" t="s">
        <v>1588</v>
      </c>
    </row>
    <row r="64" spans="1:14" x14ac:dyDescent="0.25">
      <c r="A64" t="s">
        <v>690</v>
      </c>
      <c r="B64" t="str">
        <f t="shared" si="0"/>
        <v>p__Bacillota</v>
      </c>
      <c r="C64" s="1">
        <v>38</v>
      </c>
      <c r="D64" s="3">
        <v>2178039</v>
      </c>
      <c r="E64" s="3">
        <f t="shared" si="1"/>
        <v>2.1780390000000001</v>
      </c>
      <c r="F64" s="1">
        <v>3256</v>
      </c>
      <c r="G64" s="2">
        <v>57316.800000000003</v>
      </c>
      <c r="H64" s="1">
        <v>233628</v>
      </c>
      <c r="M64" t="s">
        <v>690</v>
      </c>
      <c r="N64" t="s">
        <v>1588</v>
      </c>
    </row>
    <row r="65" spans="1:14" x14ac:dyDescent="0.25">
      <c r="A65" t="s">
        <v>691</v>
      </c>
      <c r="B65" t="str">
        <f t="shared" si="0"/>
        <v>p__Bacillota</v>
      </c>
      <c r="C65" s="1">
        <v>15</v>
      </c>
      <c r="D65" s="3">
        <v>2212880</v>
      </c>
      <c r="E65" s="3">
        <f t="shared" si="1"/>
        <v>2.2128800000000002</v>
      </c>
      <c r="F65" s="1">
        <v>2135</v>
      </c>
      <c r="G65" s="2">
        <v>147525.29999999999</v>
      </c>
      <c r="H65" s="1">
        <v>528787</v>
      </c>
      <c r="M65" t="s">
        <v>691</v>
      </c>
      <c r="N65" t="s">
        <v>1588</v>
      </c>
    </row>
    <row r="66" spans="1:14" x14ac:dyDescent="0.25">
      <c r="A66" t="s">
        <v>692</v>
      </c>
      <c r="B66" t="str">
        <f t="shared" ref="B66:B129" si="2">VLOOKUP(A66,M:N,2,FALSE)</f>
        <v>p__Bacillota</v>
      </c>
      <c r="C66" s="1">
        <v>21</v>
      </c>
      <c r="D66" s="3">
        <v>2436091</v>
      </c>
      <c r="E66" s="3">
        <f t="shared" ref="E66:E129" si="3">D66/1000000</f>
        <v>2.4360909999999998</v>
      </c>
      <c r="F66" s="1">
        <v>5190</v>
      </c>
      <c r="G66" s="2">
        <v>116004.3</v>
      </c>
      <c r="H66" s="1">
        <v>352599</v>
      </c>
      <c r="M66" t="s">
        <v>692</v>
      </c>
      <c r="N66" t="s">
        <v>1588</v>
      </c>
    </row>
    <row r="67" spans="1:14" x14ac:dyDescent="0.25">
      <c r="A67" t="s">
        <v>693</v>
      </c>
      <c r="B67" t="str">
        <f t="shared" si="2"/>
        <v>p__Bacillota</v>
      </c>
      <c r="C67" s="1">
        <v>11</v>
      </c>
      <c r="D67" s="3">
        <v>2808820</v>
      </c>
      <c r="E67" s="3">
        <f t="shared" si="3"/>
        <v>2.8088199999999999</v>
      </c>
      <c r="F67" s="1">
        <v>3161</v>
      </c>
      <c r="G67" s="2">
        <v>255347.3</v>
      </c>
      <c r="H67" s="1">
        <v>1405443</v>
      </c>
      <c r="M67" t="s">
        <v>693</v>
      </c>
      <c r="N67" t="s">
        <v>1588</v>
      </c>
    </row>
    <row r="68" spans="1:14" x14ac:dyDescent="0.25">
      <c r="A68" t="s">
        <v>694</v>
      </c>
      <c r="B68" t="str">
        <f t="shared" si="2"/>
        <v>p__Bacillota</v>
      </c>
      <c r="C68" s="1">
        <v>22</v>
      </c>
      <c r="D68" s="3">
        <v>1417864</v>
      </c>
      <c r="E68" s="3">
        <f t="shared" si="3"/>
        <v>1.417864</v>
      </c>
      <c r="F68" s="1">
        <v>2017</v>
      </c>
      <c r="G68" s="2">
        <v>64448.4</v>
      </c>
      <c r="H68" s="1">
        <v>341726</v>
      </c>
      <c r="M68" t="s">
        <v>694</v>
      </c>
      <c r="N68" t="s">
        <v>1588</v>
      </c>
    </row>
    <row r="69" spans="1:14" x14ac:dyDescent="0.25">
      <c r="A69" t="s">
        <v>695</v>
      </c>
      <c r="B69" t="str">
        <f t="shared" si="2"/>
        <v>p__Bacillota</v>
      </c>
      <c r="C69" s="1">
        <v>14</v>
      </c>
      <c r="D69" s="3">
        <v>2237998</v>
      </c>
      <c r="E69" s="3">
        <f t="shared" si="3"/>
        <v>2.2379980000000002</v>
      </c>
      <c r="F69" s="1">
        <v>4289</v>
      </c>
      <c r="G69" s="1">
        <v>159857</v>
      </c>
      <c r="H69" s="1">
        <v>759354</v>
      </c>
      <c r="M69" t="s">
        <v>695</v>
      </c>
      <c r="N69" t="s">
        <v>1588</v>
      </c>
    </row>
    <row r="70" spans="1:14" x14ac:dyDescent="0.25">
      <c r="A70" t="s">
        <v>696</v>
      </c>
      <c r="B70" t="str">
        <f t="shared" si="2"/>
        <v>p__Bacillota</v>
      </c>
      <c r="C70" s="1">
        <v>4</v>
      </c>
      <c r="D70" s="3">
        <v>1241170</v>
      </c>
      <c r="E70" s="3">
        <f t="shared" si="3"/>
        <v>1.2411700000000001</v>
      </c>
      <c r="F70" s="1">
        <v>2994</v>
      </c>
      <c r="G70" s="2">
        <v>310292.5</v>
      </c>
      <c r="H70" s="1">
        <v>1150160</v>
      </c>
      <c r="M70" t="s">
        <v>696</v>
      </c>
      <c r="N70" t="s">
        <v>1588</v>
      </c>
    </row>
    <row r="71" spans="1:14" x14ac:dyDescent="0.25">
      <c r="A71" t="s">
        <v>697</v>
      </c>
      <c r="B71" t="str">
        <f t="shared" si="2"/>
        <v>p__Bacillota</v>
      </c>
      <c r="C71" s="1">
        <v>3</v>
      </c>
      <c r="D71" s="3">
        <v>798507</v>
      </c>
      <c r="E71" s="3">
        <f t="shared" si="3"/>
        <v>0.79850699999999997</v>
      </c>
      <c r="F71" s="1">
        <v>3758</v>
      </c>
      <c r="G71" s="1">
        <v>266169</v>
      </c>
      <c r="H71" s="1">
        <v>646672</v>
      </c>
      <c r="M71" t="s">
        <v>697</v>
      </c>
      <c r="N71" t="s">
        <v>1588</v>
      </c>
    </row>
    <row r="72" spans="1:14" x14ac:dyDescent="0.25">
      <c r="A72" t="s">
        <v>698</v>
      </c>
      <c r="B72" t="str">
        <f t="shared" si="2"/>
        <v>p__Bacillota</v>
      </c>
      <c r="C72" s="1">
        <v>13</v>
      </c>
      <c r="D72" s="3">
        <v>687594</v>
      </c>
      <c r="E72" s="3">
        <f t="shared" si="3"/>
        <v>0.68759400000000004</v>
      </c>
      <c r="F72" s="1">
        <v>20026</v>
      </c>
      <c r="G72" s="2">
        <v>52891.8</v>
      </c>
      <c r="H72" s="1">
        <v>156807</v>
      </c>
      <c r="M72" t="s">
        <v>698</v>
      </c>
      <c r="N72" t="s">
        <v>1588</v>
      </c>
    </row>
    <row r="73" spans="1:14" x14ac:dyDescent="0.25">
      <c r="A73" t="s">
        <v>699</v>
      </c>
      <c r="B73" t="str">
        <f t="shared" si="2"/>
        <v>p__Bacillota</v>
      </c>
      <c r="C73" s="1">
        <v>10</v>
      </c>
      <c r="D73" s="3">
        <v>1570609</v>
      </c>
      <c r="E73" s="3">
        <f t="shared" si="3"/>
        <v>1.5706089999999999</v>
      </c>
      <c r="F73" s="1">
        <v>3179</v>
      </c>
      <c r="G73" s="2">
        <v>157060.9</v>
      </c>
      <c r="H73" s="1">
        <v>493429</v>
      </c>
      <c r="M73" t="s">
        <v>699</v>
      </c>
      <c r="N73" t="s">
        <v>1588</v>
      </c>
    </row>
    <row r="74" spans="1:14" x14ac:dyDescent="0.25">
      <c r="A74" t="s">
        <v>700</v>
      </c>
      <c r="B74" t="str">
        <f t="shared" si="2"/>
        <v>p__Bacillota</v>
      </c>
      <c r="C74" s="1">
        <v>12</v>
      </c>
      <c r="D74" s="3">
        <v>1229820</v>
      </c>
      <c r="E74" s="3">
        <f t="shared" si="3"/>
        <v>1.2298199999999999</v>
      </c>
      <c r="F74" s="1">
        <v>2438</v>
      </c>
      <c r="G74" s="1">
        <v>102485</v>
      </c>
      <c r="H74" s="1">
        <v>406891</v>
      </c>
      <c r="M74" t="s">
        <v>700</v>
      </c>
      <c r="N74" t="s">
        <v>1588</v>
      </c>
    </row>
    <row r="75" spans="1:14" x14ac:dyDescent="0.25">
      <c r="A75" t="s">
        <v>701</v>
      </c>
      <c r="B75" t="str">
        <f t="shared" si="2"/>
        <v>p__Bacillota</v>
      </c>
      <c r="C75" s="1">
        <v>71</v>
      </c>
      <c r="D75" s="3">
        <v>1488519</v>
      </c>
      <c r="E75" s="3">
        <f t="shared" si="3"/>
        <v>1.4885189999999999</v>
      </c>
      <c r="F75" s="1">
        <v>2065</v>
      </c>
      <c r="G75" s="2">
        <v>20965.099999999999</v>
      </c>
      <c r="H75" s="1">
        <v>288425</v>
      </c>
      <c r="M75" t="s">
        <v>701</v>
      </c>
      <c r="N75" t="s">
        <v>1588</v>
      </c>
    </row>
    <row r="76" spans="1:14" x14ac:dyDescent="0.25">
      <c r="A76" t="s">
        <v>702</v>
      </c>
      <c r="B76" t="str">
        <f t="shared" si="2"/>
        <v>p__Bacillota</v>
      </c>
      <c r="C76" s="1">
        <v>26</v>
      </c>
      <c r="D76" s="3">
        <v>1206574</v>
      </c>
      <c r="E76" s="3">
        <f t="shared" si="3"/>
        <v>1.206574</v>
      </c>
      <c r="F76" s="1">
        <v>3009</v>
      </c>
      <c r="G76" s="2">
        <v>46406.7</v>
      </c>
      <c r="H76" s="1">
        <v>209402</v>
      </c>
      <c r="M76" t="s">
        <v>702</v>
      </c>
      <c r="N76" t="s">
        <v>1588</v>
      </c>
    </row>
    <row r="77" spans="1:14" x14ac:dyDescent="0.25">
      <c r="A77" t="s">
        <v>703</v>
      </c>
      <c r="B77" t="str">
        <f t="shared" si="2"/>
        <v>p__Bacillota</v>
      </c>
      <c r="C77" s="1">
        <v>58</v>
      </c>
      <c r="D77" s="3">
        <v>1457370</v>
      </c>
      <c r="E77" s="3">
        <f t="shared" si="3"/>
        <v>1.4573700000000001</v>
      </c>
      <c r="F77" s="1">
        <v>2019</v>
      </c>
      <c r="G77" s="2">
        <v>25127.1</v>
      </c>
      <c r="H77" s="1">
        <v>331786</v>
      </c>
      <c r="M77" t="s">
        <v>703</v>
      </c>
      <c r="N77" t="s">
        <v>1588</v>
      </c>
    </row>
    <row r="78" spans="1:14" x14ac:dyDescent="0.25">
      <c r="A78" t="s">
        <v>704</v>
      </c>
      <c r="B78" t="str">
        <f t="shared" si="2"/>
        <v>p__Bacillota</v>
      </c>
      <c r="C78" s="1">
        <v>38</v>
      </c>
      <c r="D78" s="3">
        <v>1650542</v>
      </c>
      <c r="E78" s="3">
        <f t="shared" si="3"/>
        <v>1.650542</v>
      </c>
      <c r="F78" s="1">
        <v>2019</v>
      </c>
      <c r="G78" s="2">
        <v>43435.3</v>
      </c>
      <c r="H78" s="1">
        <v>307246</v>
      </c>
      <c r="M78" t="s">
        <v>704</v>
      </c>
      <c r="N78" t="s">
        <v>1588</v>
      </c>
    </row>
    <row r="79" spans="1:14" x14ac:dyDescent="0.25">
      <c r="A79" t="s">
        <v>705</v>
      </c>
      <c r="B79" t="str">
        <f t="shared" si="2"/>
        <v>p__Bacillota</v>
      </c>
      <c r="C79" s="1">
        <v>62</v>
      </c>
      <c r="D79" s="3">
        <v>3057643</v>
      </c>
      <c r="E79" s="3">
        <f t="shared" si="3"/>
        <v>3.0576430000000001</v>
      </c>
      <c r="F79" s="1">
        <v>3899</v>
      </c>
      <c r="G79" s="2">
        <v>49316.800000000003</v>
      </c>
      <c r="H79" s="1">
        <v>550203</v>
      </c>
      <c r="M79" t="s">
        <v>705</v>
      </c>
      <c r="N79" t="s">
        <v>1588</v>
      </c>
    </row>
    <row r="80" spans="1:14" x14ac:dyDescent="0.25">
      <c r="A80" t="s">
        <v>706</v>
      </c>
      <c r="B80" t="str">
        <f t="shared" si="2"/>
        <v>p__Bacillota</v>
      </c>
      <c r="C80" s="1">
        <v>10</v>
      </c>
      <c r="D80" s="3">
        <v>1696098</v>
      </c>
      <c r="E80" s="3">
        <f t="shared" si="3"/>
        <v>1.6960980000000001</v>
      </c>
      <c r="F80" s="1">
        <v>3705</v>
      </c>
      <c r="G80" s="2">
        <v>169609.8</v>
      </c>
      <c r="H80" s="1">
        <v>591879</v>
      </c>
      <c r="M80" t="s">
        <v>706</v>
      </c>
      <c r="N80" t="s">
        <v>1588</v>
      </c>
    </row>
    <row r="81" spans="1:14" x14ac:dyDescent="0.25">
      <c r="A81" t="s">
        <v>707</v>
      </c>
      <c r="B81" t="str">
        <f t="shared" si="2"/>
        <v>p__Bacillota</v>
      </c>
      <c r="C81" s="1">
        <v>17</v>
      </c>
      <c r="D81" s="3">
        <v>2457242</v>
      </c>
      <c r="E81" s="3">
        <f t="shared" si="3"/>
        <v>2.4572419999999999</v>
      </c>
      <c r="F81" s="1">
        <v>2200</v>
      </c>
      <c r="G81" s="2">
        <v>144543.6</v>
      </c>
      <c r="H81" s="1">
        <v>771549</v>
      </c>
      <c r="M81" t="s">
        <v>707</v>
      </c>
      <c r="N81" t="s">
        <v>1588</v>
      </c>
    </row>
    <row r="82" spans="1:14" x14ac:dyDescent="0.25">
      <c r="A82" t="s">
        <v>708</v>
      </c>
      <c r="B82" t="str">
        <f t="shared" si="2"/>
        <v>p__Bacillota</v>
      </c>
      <c r="C82" s="1">
        <v>42</v>
      </c>
      <c r="D82" s="3">
        <v>2419142</v>
      </c>
      <c r="E82" s="3">
        <f t="shared" si="3"/>
        <v>2.4191419999999999</v>
      </c>
      <c r="F82" s="1">
        <v>2018</v>
      </c>
      <c r="G82" s="2">
        <v>57598.6</v>
      </c>
      <c r="H82" s="1">
        <v>1983930</v>
      </c>
      <c r="M82" t="s">
        <v>708</v>
      </c>
      <c r="N82" t="s">
        <v>1588</v>
      </c>
    </row>
    <row r="83" spans="1:14" x14ac:dyDescent="0.25">
      <c r="A83" t="s">
        <v>709</v>
      </c>
      <c r="B83" t="str">
        <f t="shared" si="2"/>
        <v>p__Bacillota</v>
      </c>
      <c r="C83" s="1">
        <v>52</v>
      </c>
      <c r="D83" s="3">
        <v>1960291</v>
      </c>
      <c r="E83" s="3">
        <f t="shared" si="3"/>
        <v>1.960291</v>
      </c>
      <c r="F83" s="1">
        <v>2943</v>
      </c>
      <c r="G83" s="2">
        <v>37697.9</v>
      </c>
      <c r="H83" s="1">
        <v>167276</v>
      </c>
      <c r="M83" t="s">
        <v>709</v>
      </c>
      <c r="N83" t="s">
        <v>1588</v>
      </c>
    </row>
    <row r="84" spans="1:14" x14ac:dyDescent="0.25">
      <c r="A84" t="s">
        <v>1226</v>
      </c>
      <c r="B84" t="str">
        <f t="shared" si="2"/>
        <v>p__Bacillota</v>
      </c>
      <c r="C84" s="1">
        <v>17</v>
      </c>
      <c r="D84" s="3">
        <v>2909032</v>
      </c>
      <c r="E84" s="3">
        <f t="shared" si="3"/>
        <v>2.9090319999999998</v>
      </c>
      <c r="F84" s="1">
        <v>2805</v>
      </c>
      <c r="G84" s="2">
        <v>171119.5</v>
      </c>
      <c r="H84" s="1">
        <v>919044</v>
      </c>
      <c r="M84" t="s">
        <v>1226</v>
      </c>
      <c r="N84" t="s">
        <v>1588</v>
      </c>
    </row>
    <row r="85" spans="1:14" x14ac:dyDescent="0.25">
      <c r="A85" t="s">
        <v>1227</v>
      </c>
      <c r="B85" t="str">
        <f t="shared" si="2"/>
        <v>p__Bacillota</v>
      </c>
      <c r="C85" s="1">
        <v>26</v>
      </c>
      <c r="D85" s="3">
        <v>4481210</v>
      </c>
      <c r="E85" s="3">
        <f t="shared" si="3"/>
        <v>4.4812099999999999</v>
      </c>
      <c r="F85" s="1">
        <v>2605</v>
      </c>
      <c r="G85" s="2">
        <v>172354.2</v>
      </c>
      <c r="H85" s="1">
        <v>1344528</v>
      </c>
      <c r="M85" t="s">
        <v>1227</v>
      </c>
      <c r="N85" t="s">
        <v>1588</v>
      </c>
    </row>
    <row r="86" spans="1:14" x14ac:dyDescent="0.25">
      <c r="A86" t="s">
        <v>1228</v>
      </c>
      <c r="B86" t="str">
        <f t="shared" si="2"/>
        <v>p__Bacillota</v>
      </c>
      <c r="C86" s="1">
        <v>70</v>
      </c>
      <c r="D86" s="3">
        <v>2573762</v>
      </c>
      <c r="E86" s="3">
        <f t="shared" si="3"/>
        <v>2.5737619999999999</v>
      </c>
      <c r="F86" s="1">
        <v>2905</v>
      </c>
      <c r="G86" s="1">
        <v>36768</v>
      </c>
      <c r="H86" s="1">
        <v>154778</v>
      </c>
      <c r="M86" t="s">
        <v>1228</v>
      </c>
      <c r="N86" t="s">
        <v>1588</v>
      </c>
    </row>
    <row r="87" spans="1:14" x14ac:dyDescent="0.25">
      <c r="A87" t="s">
        <v>1229</v>
      </c>
      <c r="B87" t="str">
        <f t="shared" si="2"/>
        <v>p__Bacillota</v>
      </c>
      <c r="C87" s="1">
        <v>11</v>
      </c>
      <c r="D87" s="3">
        <v>2288827</v>
      </c>
      <c r="E87" s="3">
        <f t="shared" si="3"/>
        <v>2.2888269999999999</v>
      </c>
      <c r="F87" s="1">
        <v>2720</v>
      </c>
      <c r="G87" s="2">
        <v>208075.2</v>
      </c>
      <c r="H87" s="1">
        <v>1729750</v>
      </c>
      <c r="M87" t="s">
        <v>1229</v>
      </c>
      <c r="N87" t="s">
        <v>1588</v>
      </c>
    </row>
    <row r="88" spans="1:14" x14ac:dyDescent="0.25">
      <c r="A88" t="s">
        <v>1230</v>
      </c>
      <c r="B88" t="str">
        <f t="shared" si="2"/>
        <v>p__Bacillota</v>
      </c>
      <c r="C88" s="1">
        <v>10</v>
      </c>
      <c r="D88" s="3">
        <v>2779848</v>
      </c>
      <c r="E88" s="3">
        <f t="shared" si="3"/>
        <v>2.7798479999999999</v>
      </c>
      <c r="F88" s="1">
        <v>7183</v>
      </c>
      <c r="G88" s="2">
        <v>277984.8</v>
      </c>
      <c r="H88" s="1">
        <v>724284</v>
      </c>
      <c r="M88" t="s">
        <v>1230</v>
      </c>
      <c r="N88" t="s">
        <v>1588</v>
      </c>
    </row>
    <row r="89" spans="1:14" x14ac:dyDescent="0.25">
      <c r="A89" t="s">
        <v>1231</v>
      </c>
      <c r="B89" t="str">
        <f t="shared" si="2"/>
        <v>p__Bacillota</v>
      </c>
      <c r="C89" s="1">
        <v>2</v>
      </c>
      <c r="D89" s="3">
        <v>2724467</v>
      </c>
      <c r="E89" s="3">
        <f t="shared" si="3"/>
        <v>2.7244670000000002</v>
      </c>
      <c r="F89" s="1">
        <v>107678</v>
      </c>
      <c r="G89" s="2">
        <v>1362233.5</v>
      </c>
      <c r="H89" s="1">
        <v>2616789</v>
      </c>
      <c r="M89" t="s">
        <v>1231</v>
      </c>
      <c r="N89" t="s">
        <v>1588</v>
      </c>
    </row>
    <row r="90" spans="1:14" x14ac:dyDescent="0.25">
      <c r="A90" t="s">
        <v>1232</v>
      </c>
      <c r="B90" t="str">
        <f t="shared" si="2"/>
        <v>p__Bacillota</v>
      </c>
      <c r="C90" s="1">
        <v>38</v>
      </c>
      <c r="D90" s="3">
        <v>2340573</v>
      </c>
      <c r="E90" s="3">
        <f t="shared" si="3"/>
        <v>2.340573</v>
      </c>
      <c r="F90" s="1">
        <v>3468</v>
      </c>
      <c r="G90" s="1">
        <v>61594</v>
      </c>
      <c r="H90" s="1">
        <v>285257</v>
      </c>
      <c r="M90" t="s">
        <v>1232</v>
      </c>
      <c r="N90" t="s">
        <v>1588</v>
      </c>
    </row>
    <row r="91" spans="1:14" x14ac:dyDescent="0.25">
      <c r="A91" t="s">
        <v>1233</v>
      </c>
      <c r="B91" t="str">
        <f t="shared" si="2"/>
        <v>p__Bacillota</v>
      </c>
      <c r="C91" s="1">
        <v>14</v>
      </c>
      <c r="D91" s="3">
        <v>3122550</v>
      </c>
      <c r="E91" s="3">
        <f t="shared" si="3"/>
        <v>3.1225499999999999</v>
      </c>
      <c r="F91" s="1">
        <v>2893</v>
      </c>
      <c r="G91" s="2">
        <v>223039.3</v>
      </c>
      <c r="H91" s="1">
        <v>744431</v>
      </c>
      <c r="M91" t="s">
        <v>1233</v>
      </c>
      <c r="N91" t="s">
        <v>1588</v>
      </c>
    </row>
    <row r="92" spans="1:14" x14ac:dyDescent="0.25">
      <c r="A92" t="s">
        <v>1234</v>
      </c>
      <c r="B92" t="str">
        <f t="shared" si="2"/>
        <v>p__Bacillota</v>
      </c>
      <c r="C92" s="1">
        <v>16</v>
      </c>
      <c r="D92" s="3">
        <v>847774</v>
      </c>
      <c r="E92" s="3">
        <f t="shared" si="3"/>
        <v>0.84777400000000003</v>
      </c>
      <c r="F92" s="1">
        <v>2568</v>
      </c>
      <c r="G92" s="2">
        <v>52985.9</v>
      </c>
      <c r="H92" s="1">
        <v>349804</v>
      </c>
      <c r="M92" t="s">
        <v>1234</v>
      </c>
      <c r="N92" t="s">
        <v>1588</v>
      </c>
    </row>
    <row r="93" spans="1:14" x14ac:dyDescent="0.25">
      <c r="A93" t="s">
        <v>1235</v>
      </c>
      <c r="B93" t="str">
        <f t="shared" si="2"/>
        <v>p__Bacillota</v>
      </c>
      <c r="C93" s="1">
        <v>9</v>
      </c>
      <c r="D93" s="3">
        <v>1465342</v>
      </c>
      <c r="E93" s="3">
        <f t="shared" si="3"/>
        <v>1.4653419999999999</v>
      </c>
      <c r="F93" s="1">
        <v>4260</v>
      </c>
      <c r="G93" s="2">
        <v>162815.79999999999</v>
      </c>
      <c r="H93" s="1">
        <v>319920</v>
      </c>
      <c r="M93" t="s">
        <v>1235</v>
      </c>
      <c r="N93" t="s">
        <v>1588</v>
      </c>
    </row>
    <row r="94" spans="1:14" x14ac:dyDescent="0.25">
      <c r="A94" t="s">
        <v>1236</v>
      </c>
      <c r="B94" t="str">
        <f t="shared" si="2"/>
        <v>p__Bacillota</v>
      </c>
      <c r="C94" s="1">
        <v>7</v>
      </c>
      <c r="D94" s="3">
        <v>1544738</v>
      </c>
      <c r="E94" s="3">
        <f t="shared" si="3"/>
        <v>1.5447379999999999</v>
      </c>
      <c r="F94" s="1">
        <v>10674</v>
      </c>
      <c r="G94" s="2">
        <v>220676.9</v>
      </c>
      <c r="H94" s="1">
        <v>743256</v>
      </c>
      <c r="M94" t="s">
        <v>1236</v>
      </c>
      <c r="N94" t="s">
        <v>1588</v>
      </c>
    </row>
    <row r="95" spans="1:14" x14ac:dyDescent="0.25">
      <c r="A95" t="s">
        <v>1237</v>
      </c>
      <c r="B95" t="str">
        <f t="shared" si="2"/>
        <v>p__Bacillota</v>
      </c>
      <c r="C95" s="1">
        <v>20</v>
      </c>
      <c r="D95" s="3">
        <v>1373627</v>
      </c>
      <c r="E95" s="3">
        <f t="shared" si="3"/>
        <v>1.3736269999999999</v>
      </c>
      <c r="F95" s="1">
        <v>2407</v>
      </c>
      <c r="G95" s="2">
        <v>68681.399999999994</v>
      </c>
      <c r="H95" s="1">
        <v>377867</v>
      </c>
      <c r="M95" t="s">
        <v>1237</v>
      </c>
      <c r="N95" t="s">
        <v>1588</v>
      </c>
    </row>
    <row r="96" spans="1:14" x14ac:dyDescent="0.25">
      <c r="A96" t="s">
        <v>1238</v>
      </c>
      <c r="B96" t="str">
        <f t="shared" si="2"/>
        <v>p__Bacillota</v>
      </c>
      <c r="C96" s="1">
        <v>9</v>
      </c>
      <c r="D96" s="3">
        <v>1464707</v>
      </c>
      <c r="E96" s="3">
        <f t="shared" si="3"/>
        <v>1.464707</v>
      </c>
      <c r="F96" s="1">
        <v>3133</v>
      </c>
      <c r="G96" s="2">
        <v>162745.20000000001</v>
      </c>
      <c r="H96" s="1">
        <v>540636</v>
      </c>
      <c r="M96" t="s">
        <v>1238</v>
      </c>
      <c r="N96" t="s">
        <v>1588</v>
      </c>
    </row>
    <row r="97" spans="1:14" x14ac:dyDescent="0.25">
      <c r="A97" t="s">
        <v>1239</v>
      </c>
      <c r="B97" t="str">
        <f t="shared" si="2"/>
        <v>p__Bacillota</v>
      </c>
      <c r="C97" s="1">
        <v>237</v>
      </c>
      <c r="D97" s="3">
        <v>3903188</v>
      </c>
      <c r="E97" s="3">
        <f t="shared" si="3"/>
        <v>3.9031880000000001</v>
      </c>
      <c r="F97" s="2">
        <v>2013</v>
      </c>
      <c r="G97" s="1">
        <v>16469.099999999999</v>
      </c>
      <c r="H97" s="1">
        <v>969119</v>
      </c>
      <c r="M97" t="s">
        <v>1239</v>
      </c>
      <c r="N97" t="s">
        <v>1588</v>
      </c>
    </row>
    <row r="98" spans="1:14" x14ac:dyDescent="0.25">
      <c r="A98" t="s">
        <v>1240</v>
      </c>
      <c r="B98" t="str">
        <f t="shared" si="2"/>
        <v>p__Bacillota</v>
      </c>
      <c r="C98" s="1">
        <v>34</v>
      </c>
      <c r="D98" s="3">
        <v>1005793</v>
      </c>
      <c r="E98" s="3">
        <f t="shared" si="3"/>
        <v>1.0057929999999999</v>
      </c>
      <c r="F98" s="1">
        <v>2513</v>
      </c>
      <c r="G98" s="2">
        <v>29582.1</v>
      </c>
      <c r="H98" s="1">
        <v>155118</v>
      </c>
      <c r="M98" t="s">
        <v>1240</v>
      </c>
      <c r="N98" t="s">
        <v>1588</v>
      </c>
    </row>
    <row r="99" spans="1:14" x14ac:dyDescent="0.25">
      <c r="A99" t="s">
        <v>1241</v>
      </c>
      <c r="B99" t="str">
        <f t="shared" si="2"/>
        <v>p__Bacillota</v>
      </c>
      <c r="C99" s="1">
        <v>40</v>
      </c>
      <c r="D99" s="3">
        <v>2506502</v>
      </c>
      <c r="E99" s="3">
        <f t="shared" si="3"/>
        <v>2.5065019999999998</v>
      </c>
      <c r="F99" s="1">
        <v>2239</v>
      </c>
      <c r="G99" s="2">
        <v>62662.6</v>
      </c>
      <c r="H99" s="1">
        <v>754682</v>
      </c>
      <c r="M99" t="s">
        <v>1241</v>
      </c>
      <c r="N99" t="s">
        <v>1588</v>
      </c>
    </row>
    <row r="100" spans="1:14" x14ac:dyDescent="0.25">
      <c r="A100" t="s">
        <v>1242</v>
      </c>
      <c r="B100" t="str">
        <f t="shared" si="2"/>
        <v>p__Bacillota</v>
      </c>
      <c r="C100" s="1">
        <v>13</v>
      </c>
      <c r="D100" s="3">
        <v>2015193</v>
      </c>
      <c r="E100" s="3">
        <f t="shared" si="3"/>
        <v>2.015193</v>
      </c>
      <c r="F100" s="1">
        <v>2045</v>
      </c>
      <c r="G100" s="2">
        <v>155014.79999999999</v>
      </c>
      <c r="H100" s="1">
        <v>1090907</v>
      </c>
      <c r="M100" t="s">
        <v>1242</v>
      </c>
      <c r="N100" t="s">
        <v>1588</v>
      </c>
    </row>
    <row r="101" spans="1:14" x14ac:dyDescent="0.25">
      <c r="A101" t="s">
        <v>1243</v>
      </c>
      <c r="B101" t="str">
        <f t="shared" si="2"/>
        <v>p__Bacillota</v>
      </c>
      <c r="C101" s="1">
        <v>1</v>
      </c>
      <c r="D101" s="3">
        <v>1912579</v>
      </c>
      <c r="E101" s="3">
        <f t="shared" si="3"/>
        <v>1.912579</v>
      </c>
      <c r="F101" s="1">
        <v>1912579</v>
      </c>
      <c r="G101" s="1">
        <v>1912579</v>
      </c>
      <c r="H101" s="1">
        <v>1912579</v>
      </c>
      <c r="M101" t="s">
        <v>1243</v>
      </c>
      <c r="N101" t="s">
        <v>1588</v>
      </c>
    </row>
    <row r="102" spans="1:14" x14ac:dyDescent="0.25">
      <c r="A102" t="s">
        <v>1244</v>
      </c>
      <c r="B102" t="str">
        <f t="shared" si="2"/>
        <v>p__Bacillota</v>
      </c>
      <c r="C102" s="1">
        <v>3</v>
      </c>
      <c r="D102" s="3">
        <v>1321102</v>
      </c>
      <c r="E102" s="3">
        <f t="shared" si="3"/>
        <v>1.321102</v>
      </c>
      <c r="F102" s="1">
        <v>70528</v>
      </c>
      <c r="G102" s="2">
        <v>440367.3</v>
      </c>
      <c r="H102" s="1">
        <v>651001</v>
      </c>
      <c r="M102" t="s">
        <v>1244</v>
      </c>
      <c r="N102" t="s">
        <v>1588</v>
      </c>
    </row>
    <row r="103" spans="1:14" x14ac:dyDescent="0.25">
      <c r="A103" t="s">
        <v>1245</v>
      </c>
      <c r="B103" t="str">
        <f t="shared" si="2"/>
        <v>p__Bacillota</v>
      </c>
      <c r="C103" s="1">
        <v>3</v>
      </c>
      <c r="D103" s="3">
        <v>1157277</v>
      </c>
      <c r="E103" s="3">
        <f t="shared" si="3"/>
        <v>1.1572769999999999</v>
      </c>
      <c r="F103" s="1">
        <v>108726</v>
      </c>
      <c r="G103" s="1">
        <v>385759</v>
      </c>
      <c r="H103" s="1">
        <v>720832</v>
      </c>
      <c r="M103" t="s">
        <v>1245</v>
      </c>
      <c r="N103" t="s">
        <v>1588</v>
      </c>
    </row>
    <row r="104" spans="1:14" x14ac:dyDescent="0.25">
      <c r="A104" t="s">
        <v>7</v>
      </c>
      <c r="B104" t="str">
        <f t="shared" si="2"/>
        <v>p__Bacillota_A</v>
      </c>
      <c r="C104" s="1">
        <v>250</v>
      </c>
      <c r="D104" s="3">
        <v>2872519</v>
      </c>
      <c r="E104" s="3">
        <f t="shared" si="3"/>
        <v>2.872519</v>
      </c>
      <c r="F104" s="2">
        <v>2021</v>
      </c>
      <c r="G104" s="1">
        <v>11490.1</v>
      </c>
      <c r="H104" s="1">
        <v>145626</v>
      </c>
      <c r="M104" t="s">
        <v>7</v>
      </c>
      <c r="N104" t="s">
        <v>1589</v>
      </c>
    </row>
    <row r="105" spans="1:14" x14ac:dyDescent="0.25">
      <c r="A105" t="s">
        <v>8</v>
      </c>
      <c r="B105" t="str">
        <f t="shared" si="2"/>
        <v>p__Bacillota_A</v>
      </c>
      <c r="C105" s="1">
        <v>14</v>
      </c>
      <c r="D105" s="3">
        <v>3291782</v>
      </c>
      <c r="E105" s="3">
        <f t="shared" si="3"/>
        <v>3.291782</v>
      </c>
      <c r="F105" s="1">
        <v>15429</v>
      </c>
      <c r="G105" s="2">
        <v>235127.3</v>
      </c>
      <c r="H105" s="1">
        <v>544383</v>
      </c>
      <c r="M105" t="s">
        <v>8</v>
      </c>
      <c r="N105" t="s">
        <v>1589</v>
      </c>
    </row>
    <row r="106" spans="1:14" x14ac:dyDescent="0.25">
      <c r="A106" t="s">
        <v>9</v>
      </c>
      <c r="B106" t="str">
        <f t="shared" si="2"/>
        <v>p__Bacillota_A</v>
      </c>
      <c r="C106" s="1">
        <v>281</v>
      </c>
      <c r="D106" s="3">
        <v>2832718</v>
      </c>
      <c r="E106" s="3">
        <f t="shared" si="3"/>
        <v>2.8327179999999998</v>
      </c>
      <c r="F106" s="2">
        <v>2005</v>
      </c>
      <c r="G106" s="1">
        <v>10080.799999999999</v>
      </c>
      <c r="H106" s="1">
        <v>225162</v>
      </c>
      <c r="M106" t="s">
        <v>9</v>
      </c>
      <c r="N106" t="s">
        <v>1589</v>
      </c>
    </row>
    <row r="107" spans="1:14" x14ac:dyDescent="0.25">
      <c r="A107" t="s">
        <v>10</v>
      </c>
      <c r="B107" t="str">
        <f t="shared" si="2"/>
        <v>p__Bacillota_A</v>
      </c>
      <c r="C107" s="1">
        <v>28</v>
      </c>
      <c r="D107" s="3">
        <v>3001529</v>
      </c>
      <c r="E107" s="3">
        <f t="shared" si="3"/>
        <v>3.0015290000000001</v>
      </c>
      <c r="F107" s="1">
        <v>9876</v>
      </c>
      <c r="G107" s="2">
        <v>107197.5</v>
      </c>
      <c r="H107" s="1">
        <v>367263</v>
      </c>
      <c r="M107" t="s">
        <v>10</v>
      </c>
      <c r="N107" t="s">
        <v>1589</v>
      </c>
    </row>
    <row r="108" spans="1:14" x14ac:dyDescent="0.25">
      <c r="A108" t="s">
        <v>11</v>
      </c>
      <c r="B108" t="str">
        <f t="shared" si="2"/>
        <v>p__Bacillota_A</v>
      </c>
      <c r="C108" s="1">
        <v>37</v>
      </c>
      <c r="D108" s="3">
        <v>2923018</v>
      </c>
      <c r="E108" s="3">
        <f t="shared" si="3"/>
        <v>2.9230179999999999</v>
      </c>
      <c r="F108" s="1">
        <v>2088</v>
      </c>
      <c r="G108" s="2">
        <v>79000.5</v>
      </c>
      <c r="H108" s="1">
        <v>536775</v>
      </c>
      <c r="M108" t="s">
        <v>11</v>
      </c>
      <c r="N108" t="s">
        <v>1589</v>
      </c>
    </row>
    <row r="109" spans="1:14" x14ac:dyDescent="0.25">
      <c r="A109" t="s">
        <v>12</v>
      </c>
      <c r="B109" t="str">
        <f t="shared" si="2"/>
        <v>p__Bacillota_A</v>
      </c>
      <c r="C109" s="1">
        <v>8</v>
      </c>
      <c r="D109" s="3">
        <v>3328515</v>
      </c>
      <c r="E109" s="3">
        <f t="shared" si="3"/>
        <v>3.3285149999999999</v>
      </c>
      <c r="F109" s="1">
        <v>2321</v>
      </c>
      <c r="G109" s="2">
        <v>416064.4</v>
      </c>
      <c r="H109" s="1">
        <v>1654587</v>
      </c>
      <c r="M109" t="s">
        <v>12</v>
      </c>
      <c r="N109" t="s">
        <v>1589</v>
      </c>
    </row>
    <row r="110" spans="1:14" x14ac:dyDescent="0.25">
      <c r="A110" t="s">
        <v>13</v>
      </c>
      <c r="B110" t="str">
        <f t="shared" si="2"/>
        <v>p__Bacillota_A</v>
      </c>
      <c r="C110" s="1">
        <v>9</v>
      </c>
      <c r="D110" s="3">
        <v>2655306</v>
      </c>
      <c r="E110" s="3">
        <f t="shared" si="3"/>
        <v>2.6553059999999999</v>
      </c>
      <c r="F110" s="1">
        <v>5077</v>
      </c>
      <c r="G110" s="1">
        <v>295034</v>
      </c>
      <c r="H110" s="1">
        <v>1181077</v>
      </c>
      <c r="M110" t="s">
        <v>13</v>
      </c>
      <c r="N110" t="s">
        <v>1589</v>
      </c>
    </row>
    <row r="111" spans="1:14" x14ac:dyDescent="0.25">
      <c r="A111" t="s">
        <v>14</v>
      </c>
      <c r="B111" t="str">
        <f t="shared" si="2"/>
        <v>p__Bacillota_A</v>
      </c>
      <c r="C111" s="1">
        <v>17</v>
      </c>
      <c r="D111" s="3">
        <v>1071445</v>
      </c>
      <c r="E111" s="3">
        <f t="shared" si="3"/>
        <v>1.071445</v>
      </c>
      <c r="F111" s="1">
        <v>12655</v>
      </c>
      <c r="G111" s="2">
        <v>63026.2</v>
      </c>
      <c r="H111" s="1">
        <v>223284</v>
      </c>
      <c r="M111" t="s">
        <v>14</v>
      </c>
      <c r="N111" t="s">
        <v>1589</v>
      </c>
    </row>
    <row r="112" spans="1:14" x14ac:dyDescent="0.25">
      <c r="A112" t="s">
        <v>15</v>
      </c>
      <c r="B112" t="str">
        <f t="shared" si="2"/>
        <v>p__Bacillota_A</v>
      </c>
      <c r="C112" s="1">
        <v>74</v>
      </c>
      <c r="D112" s="3">
        <v>1436548</v>
      </c>
      <c r="E112" s="3">
        <f t="shared" si="3"/>
        <v>1.4365479999999999</v>
      </c>
      <c r="F112" s="1">
        <v>2030</v>
      </c>
      <c r="G112" s="2">
        <v>19412.8</v>
      </c>
      <c r="H112" s="1">
        <v>89974</v>
      </c>
      <c r="M112" t="s">
        <v>15</v>
      </c>
      <c r="N112" t="s">
        <v>1589</v>
      </c>
    </row>
    <row r="113" spans="1:14" x14ac:dyDescent="0.25">
      <c r="A113" t="s">
        <v>16</v>
      </c>
      <c r="B113" t="str">
        <f t="shared" si="2"/>
        <v>p__Bacillota_A</v>
      </c>
      <c r="C113" s="1">
        <v>11</v>
      </c>
      <c r="D113" s="3">
        <v>2275289</v>
      </c>
      <c r="E113" s="3">
        <f t="shared" si="3"/>
        <v>2.2752889999999999</v>
      </c>
      <c r="F113" s="1">
        <v>2103</v>
      </c>
      <c r="G113" s="2">
        <v>206844.5</v>
      </c>
      <c r="H113" s="1">
        <v>649827</v>
      </c>
      <c r="M113" t="s">
        <v>16</v>
      </c>
      <c r="N113" t="s">
        <v>1589</v>
      </c>
    </row>
    <row r="114" spans="1:14" x14ac:dyDescent="0.25">
      <c r="A114" t="s">
        <v>17</v>
      </c>
      <c r="B114" t="str">
        <f t="shared" si="2"/>
        <v>p__Bacillota_A</v>
      </c>
      <c r="C114" s="1">
        <v>13</v>
      </c>
      <c r="D114" s="3">
        <v>1786246</v>
      </c>
      <c r="E114" s="3">
        <f t="shared" si="3"/>
        <v>1.786246</v>
      </c>
      <c r="F114" s="1">
        <v>2504</v>
      </c>
      <c r="G114" s="2">
        <v>137403.5</v>
      </c>
      <c r="H114" s="1">
        <v>463335</v>
      </c>
      <c r="M114" t="s">
        <v>17</v>
      </c>
      <c r="N114" t="s">
        <v>1589</v>
      </c>
    </row>
    <row r="115" spans="1:14" x14ac:dyDescent="0.25">
      <c r="A115" t="s">
        <v>18</v>
      </c>
      <c r="B115" t="str">
        <f t="shared" si="2"/>
        <v>p__Bacillota_A</v>
      </c>
      <c r="C115" s="1">
        <v>96</v>
      </c>
      <c r="D115" s="3">
        <v>1410462</v>
      </c>
      <c r="E115" s="3">
        <f t="shared" si="3"/>
        <v>1.4104620000000001</v>
      </c>
      <c r="F115" s="1">
        <v>2030</v>
      </c>
      <c r="G115" s="2">
        <v>14692.3</v>
      </c>
      <c r="H115" s="1">
        <v>111707</v>
      </c>
      <c r="M115" t="s">
        <v>18</v>
      </c>
      <c r="N115" t="s">
        <v>1589</v>
      </c>
    </row>
    <row r="116" spans="1:14" x14ac:dyDescent="0.25">
      <c r="A116" t="s">
        <v>19</v>
      </c>
      <c r="B116" t="str">
        <f t="shared" si="2"/>
        <v>p__Bacillota_A</v>
      </c>
      <c r="C116" s="1">
        <v>161</v>
      </c>
      <c r="D116" s="3">
        <v>3078816</v>
      </c>
      <c r="E116" s="3">
        <f t="shared" si="3"/>
        <v>3.0788160000000002</v>
      </c>
      <c r="F116" s="2">
        <v>2004</v>
      </c>
      <c r="G116" s="1">
        <v>19123.099999999999</v>
      </c>
      <c r="H116" s="1">
        <v>176551</v>
      </c>
      <c r="M116" t="s">
        <v>19</v>
      </c>
      <c r="N116" t="s">
        <v>1589</v>
      </c>
    </row>
    <row r="117" spans="1:14" x14ac:dyDescent="0.25">
      <c r="A117" t="s">
        <v>20</v>
      </c>
      <c r="B117" t="str">
        <f t="shared" si="2"/>
        <v>p__Bacillota_A</v>
      </c>
      <c r="C117" s="1">
        <v>133</v>
      </c>
      <c r="D117" s="3">
        <v>5072072</v>
      </c>
      <c r="E117" s="3">
        <f t="shared" si="3"/>
        <v>5.0720720000000004</v>
      </c>
      <c r="F117" s="2">
        <v>2024</v>
      </c>
      <c r="G117" s="1">
        <v>38135.9</v>
      </c>
      <c r="H117" s="1">
        <v>270796</v>
      </c>
      <c r="M117" t="s">
        <v>20</v>
      </c>
      <c r="N117" t="s">
        <v>1589</v>
      </c>
    </row>
    <row r="118" spans="1:14" x14ac:dyDescent="0.25">
      <c r="A118" t="s">
        <v>21</v>
      </c>
      <c r="B118" t="str">
        <f t="shared" si="2"/>
        <v>p__Bacillota_A</v>
      </c>
      <c r="C118" s="1">
        <v>32</v>
      </c>
      <c r="D118" s="3">
        <v>4009777</v>
      </c>
      <c r="E118" s="3">
        <f t="shared" si="3"/>
        <v>4.0097769999999997</v>
      </c>
      <c r="F118" s="1">
        <v>3512</v>
      </c>
      <c r="G118" s="2">
        <v>125305.5</v>
      </c>
      <c r="H118" s="1">
        <v>655859</v>
      </c>
      <c r="M118" t="s">
        <v>21</v>
      </c>
      <c r="N118" t="s">
        <v>1589</v>
      </c>
    </row>
    <row r="119" spans="1:14" x14ac:dyDescent="0.25">
      <c r="A119" t="s">
        <v>22</v>
      </c>
      <c r="B119" t="str">
        <f t="shared" si="2"/>
        <v>p__Bacillota_A</v>
      </c>
      <c r="C119" s="1">
        <v>498</v>
      </c>
      <c r="D119" s="3">
        <v>3149624</v>
      </c>
      <c r="E119" s="3">
        <f t="shared" si="3"/>
        <v>3.1496240000000002</v>
      </c>
      <c r="F119" s="2">
        <v>2004</v>
      </c>
      <c r="G119" s="1">
        <v>6324.5</v>
      </c>
      <c r="H119" s="1">
        <v>51892</v>
      </c>
      <c r="M119" t="s">
        <v>22</v>
      </c>
      <c r="N119" t="s">
        <v>1589</v>
      </c>
    </row>
    <row r="120" spans="1:14" x14ac:dyDescent="0.25">
      <c r="A120" t="s">
        <v>23</v>
      </c>
      <c r="B120" t="str">
        <f t="shared" si="2"/>
        <v>p__Bacillota_A</v>
      </c>
      <c r="C120" s="1">
        <v>393</v>
      </c>
      <c r="D120" s="3">
        <v>3512153</v>
      </c>
      <c r="E120" s="3">
        <f t="shared" si="3"/>
        <v>3.5121530000000001</v>
      </c>
      <c r="F120" s="2">
        <v>2010</v>
      </c>
      <c r="G120" s="1">
        <v>8936.7999999999993</v>
      </c>
      <c r="H120" s="1">
        <v>219757</v>
      </c>
      <c r="M120" t="s">
        <v>23</v>
      </c>
      <c r="N120" t="s">
        <v>1589</v>
      </c>
    </row>
    <row r="121" spans="1:14" x14ac:dyDescent="0.25">
      <c r="A121" t="s">
        <v>24</v>
      </c>
      <c r="B121" t="str">
        <f t="shared" si="2"/>
        <v>p__Bacillota_A</v>
      </c>
      <c r="C121" s="1">
        <v>148</v>
      </c>
      <c r="D121" s="3">
        <v>6151966</v>
      </c>
      <c r="E121" s="3">
        <f t="shared" si="3"/>
        <v>6.1519659999999998</v>
      </c>
      <c r="F121" s="2">
        <v>2182</v>
      </c>
      <c r="G121" s="1">
        <v>41567.300000000003</v>
      </c>
      <c r="H121" s="1">
        <v>259361</v>
      </c>
      <c r="M121" t="s">
        <v>24</v>
      </c>
      <c r="N121" t="s">
        <v>1589</v>
      </c>
    </row>
    <row r="122" spans="1:14" x14ac:dyDescent="0.25">
      <c r="A122" t="s">
        <v>25</v>
      </c>
      <c r="B122" t="str">
        <f t="shared" si="2"/>
        <v>p__Bacillota_A</v>
      </c>
      <c r="C122" s="1">
        <v>23</v>
      </c>
      <c r="D122" s="3">
        <v>6730714</v>
      </c>
      <c r="E122" s="3">
        <f t="shared" si="3"/>
        <v>6.7307139999999999</v>
      </c>
      <c r="F122" s="1">
        <v>2153</v>
      </c>
      <c r="G122" s="2">
        <v>292639.7</v>
      </c>
      <c r="H122" s="1">
        <v>1188601</v>
      </c>
      <c r="M122" t="s">
        <v>25</v>
      </c>
      <c r="N122" t="s">
        <v>1589</v>
      </c>
    </row>
    <row r="123" spans="1:14" x14ac:dyDescent="0.25">
      <c r="A123" t="s">
        <v>26</v>
      </c>
      <c r="B123" t="str">
        <f t="shared" si="2"/>
        <v>p__Bacillota_A</v>
      </c>
      <c r="C123" s="1">
        <v>75</v>
      </c>
      <c r="D123" s="3">
        <v>6081025</v>
      </c>
      <c r="E123" s="3">
        <f t="shared" si="3"/>
        <v>6.0810250000000003</v>
      </c>
      <c r="F123" s="1">
        <v>2022</v>
      </c>
      <c r="G123" s="2">
        <v>81080.3</v>
      </c>
      <c r="H123" s="1">
        <v>391679</v>
      </c>
      <c r="M123" t="s">
        <v>26</v>
      </c>
      <c r="N123" t="s">
        <v>1589</v>
      </c>
    </row>
    <row r="124" spans="1:14" x14ac:dyDescent="0.25">
      <c r="A124" t="s">
        <v>27</v>
      </c>
      <c r="B124" t="str">
        <f t="shared" si="2"/>
        <v>p__Bacillota_A</v>
      </c>
      <c r="C124" s="1">
        <v>78</v>
      </c>
      <c r="D124" s="3">
        <v>6060794</v>
      </c>
      <c r="E124" s="3">
        <f t="shared" si="3"/>
        <v>6.0607939999999996</v>
      </c>
      <c r="F124" s="1">
        <v>2052</v>
      </c>
      <c r="G124" s="2">
        <v>77702.5</v>
      </c>
      <c r="H124" s="1">
        <v>643421</v>
      </c>
      <c r="M124" t="s">
        <v>27</v>
      </c>
      <c r="N124" t="s">
        <v>1589</v>
      </c>
    </row>
    <row r="125" spans="1:14" x14ac:dyDescent="0.25">
      <c r="A125" t="s">
        <v>28</v>
      </c>
      <c r="B125" t="str">
        <f t="shared" si="2"/>
        <v>p__Bacillota_A</v>
      </c>
      <c r="C125" s="1">
        <v>27</v>
      </c>
      <c r="D125" s="3">
        <v>4914522</v>
      </c>
      <c r="E125" s="3">
        <f t="shared" si="3"/>
        <v>4.9145219999999998</v>
      </c>
      <c r="F125" s="1">
        <v>8529</v>
      </c>
      <c r="G125" s="2">
        <v>182019.3</v>
      </c>
      <c r="H125" s="1">
        <v>794070</v>
      </c>
      <c r="M125" t="s">
        <v>28</v>
      </c>
      <c r="N125" t="s">
        <v>1589</v>
      </c>
    </row>
    <row r="126" spans="1:14" x14ac:dyDescent="0.25">
      <c r="A126" t="s">
        <v>29</v>
      </c>
      <c r="B126" t="str">
        <f t="shared" si="2"/>
        <v>p__Bacillota_A</v>
      </c>
      <c r="C126" s="1">
        <v>14</v>
      </c>
      <c r="D126" s="3">
        <v>7290898</v>
      </c>
      <c r="E126" s="3">
        <f t="shared" si="3"/>
        <v>7.2908980000000003</v>
      </c>
      <c r="F126" s="1">
        <v>71840</v>
      </c>
      <c r="G126" s="2">
        <v>520778.4</v>
      </c>
      <c r="H126" s="1">
        <v>1984746</v>
      </c>
      <c r="M126" t="s">
        <v>29</v>
      </c>
      <c r="N126" t="s">
        <v>1589</v>
      </c>
    </row>
    <row r="127" spans="1:14" x14ac:dyDescent="0.25">
      <c r="A127" t="s">
        <v>30</v>
      </c>
      <c r="B127" t="str">
        <f t="shared" si="2"/>
        <v>p__Bacillota_A</v>
      </c>
      <c r="C127" s="1">
        <v>896</v>
      </c>
      <c r="D127" s="3">
        <v>3647413</v>
      </c>
      <c r="E127" s="3">
        <f t="shared" si="3"/>
        <v>3.6474129999999998</v>
      </c>
      <c r="F127" s="2">
        <v>2002</v>
      </c>
      <c r="G127" s="1">
        <v>4070.8</v>
      </c>
      <c r="H127" s="1">
        <v>44722</v>
      </c>
      <c r="M127" t="s">
        <v>30</v>
      </c>
      <c r="N127" t="s">
        <v>1589</v>
      </c>
    </row>
    <row r="128" spans="1:14" x14ac:dyDescent="0.25">
      <c r="A128" t="s">
        <v>31</v>
      </c>
      <c r="B128" t="str">
        <f t="shared" si="2"/>
        <v>p__Bacillota_A</v>
      </c>
      <c r="C128" s="1">
        <v>28</v>
      </c>
      <c r="D128" s="3">
        <v>2507505</v>
      </c>
      <c r="E128" s="3">
        <f t="shared" si="3"/>
        <v>2.5075050000000001</v>
      </c>
      <c r="F128" s="1">
        <v>9557</v>
      </c>
      <c r="G128" s="2">
        <v>89553.8</v>
      </c>
      <c r="H128" s="1">
        <v>210999</v>
      </c>
      <c r="M128" t="s">
        <v>31</v>
      </c>
      <c r="N128" t="s">
        <v>1589</v>
      </c>
    </row>
    <row r="129" spans="1:14" x14ac:dyDescent="0.25">
      <c r="A129" t="s">
        <v>32</v>
      </c>
      <c r="B129" t="str">
        <f t="shared" si="2"/>
        <v>p__Bacillota_A</v>
      </c>
      <c r="C129" s="1">
        <v>92</v>
      </c>
      <c r="D129" s="3">
        <v>2016676</v>
      </c>
      <c r="E129" s="3">
        <f t="shared" si="3"/>
        <v>2.0166759999999999</v>
      </c>
      <c r="F129" s="1">
        <v>2005</v>
      </c>
      <c r="G129" s="2">
        <v>21920.400000000001</v>
      </c>
      <c r="H129" s="1">
        <v>245161</v>
      </c>
      <c r="M129" t="s">
        <v>32</v>
      </c>
      <c r="N129" t="s">
        <v>1589</v>
      </c>
    </row>
    <row r="130" spans="1:14" x14ac:dyDescent="0.25">
      <c r="A130" t="s">
        <v>33</v>
      </c>
      <c r="B130" t="str">
        <f t="shared" ref="B130:B193" si="4">VLOOKUP(A130,M:N,2,FALSE)</f>
        <v>p__Bacillota_A</v>
      </c>
      <c r="C130" s="1">
        <v>343</v>
      </c>
      <c r="D130" s="3">
        <v>1677691</v>
      </c>
      <c r="E130" s="3">
        <f t="shared" ref="E130:E193" si="5">D130/1000000</f>
        <v>1.677691</v>
      </c>
      <c r="F130" s="2">
        <v>2010</v>
      </c>
      <c r="G130" s="1">
        <v>4891.2</v>
      </c>
      <c r="H130" s="1">
        <v>64820</v>
      </c>
      <c r="M130" t="s">
        <v>33</v>
      </c>
      <c r="N130" t="s">
        <v>1589</v>
      </c>
    </row>
    <row r="131" spans="1:14" x14ac:dyDescent="0.25">
      <c r="A131" t="s">
        <v>34</v>
      </c>
      <c r="B131" t="str">
        <f t="shared" si="4"/>
        <v>p__Bacillota_A</v>
      </c>
      <c r="C131" s="1">
        <v>45</v>
      </c>
      <c r="D131" s="3">
        <v>1635790</v>
      </c>
      <c r="E131" s="3">
        <f t="shared" si="5"/>
        <v>1.6357900000000001</v>
      </c>
      <c r="F131" s="1">
        <v>2027</v>
      </c>
      <c r="G131" s="2">
        <v>36350.9</v>
      </c>
      <c r="H131" s="1">
        <v>164512</v>
      </c>
      <c r="M131" t="s">
        <v>34</v>
      </c>
      <c r="N131" t="s">
        <v>1589</v>
      </c>
    </row>
    <row r="132" spans="1:14" x14ac:dyDescent="0.25">
      <c r="A132" t="s">
        <v>35</v>
      </c>
      <c r="B132" t="str">
        <f t="shared" si="4"/>
        <v>p__Bacillota_A</v>
      </c>
      <c r="C132" s="1">
        <v>24</v>
      </c>
      <c r="D132" s="3">
        <v>2979542</v>
      </c>
      <c r="E132" s="3">
        <f t="shared" si="5"/>
        <v>2.9795419999999999</v>
      </c>
      <c r="F132" s="1">
        <v>6546</v>
      </c>
      <c r="G132" s="2">
        <v>124147.6</v>
      </c>
      <c r="H132" s="1">
        <v>391632</v>
      </c>
      <c r="M132" t="s">
        <v>35</v>
      </c>
      <c r="N132" t="s">
        <v>1589</v>
      </c>
    </row>
    <row r="133" spans="1:14" x14ac:dyDescent="0.25">
      <c r="A133" t="s">
        <v>36</v>
      </c>
      <c r="B133" t="str">
        <f t="shared" si="4"/>
        <v>p__Bacillota_A</v>
      </c>
      <c r="C133" s="1">
        <v>17</v>
      </c>
      <c r="D133" s="3">
        <v>3677234</v>
      </c>
      <c r="E133" s="3">
        <f t="shared" si="5"/>
        <v>3.6772339999999999</v>
      </c>
      <c r="F133" s="1">
        <v>6195</v>
      </c>
      <c r="G133" s="2">
        <v>216307.9</v>
      </c>
      <c r="H133" s="1">
        <v>573555</v>
      </c>
      <c r="M133" t="s">
        <v>36</v>
      </c>
      <c r="N133" t="s">
        <v>1589</v>
      </c>
    </row>
    <row r="134" spans="1:14" x14ac:dyDescent="0.25">
      <c r="A134" t="s">
        <v>37</v>
      </c>
      <c r="B134" t="str">
        <f t="shared" si="4"/>
        <v>p__Bacillota_A</v>
      </c>
      <c r="C134" s="1">
        <v>154</v>
      </c>
      <c r="D134" s="3">
        <v>3549926</v>
      </c>
      <c r="E134" s="3">
        <f t="shared" si="5"/>
        <v>3.5499260000000001</v>
      </c>
      <c r="F134" s="2">
        <v>2016</v>
      </c>
      <c r="G134" s="1">
        <v>23051.5</v>
      </c>
      <c r="H134" s="1">
        <v>244058</v>
      </c>
      <c r="M134" t="s">
        <v>37</v>
      </c>
      <c r="N134" t="s">
        <v>1589</v>
      </c>
    </row>
    <row r="135" spans="1:14" x14ac:dyDescent="0.25">
      <c r="A135" t="s">
        <v>38</v>
      </c>
      <c r="B135" t="str">
        <f t="shared" si="4"/>
        <v>p__Bacillota_A</v>
      </c>
      <c r="C135" s="1">
        <v>193</v>
      </c>
      <c r="D135" s="3">
        <v>1463987</v>
      </c>
      <c r="E135" s="3">
        <f t="shared" si="5"/>
        <v>1.4639869999999999</v>
      </c>
      <c r="F135" s="2">
        <v>2003</v>
      </c>
      <c r="G135" s="1">
        <v>7585.4</v>
      </c>
      <c r="H135" s="1">
        <v>118573</v>
      </c>
      <c r="M135" t="s">
        <v>38</v>
      </c>
      <c r="N135" t="s">
        <v>1589</v>
      </c>
    </row>
    <row r="136" spans="1:14" x14ac:dyDescent="0.25">
      <c r="A136" t="s">
        <v>39</v>
      </c>
      <c r="B136" t="str">
        <f t="shared" si="4"/>
        <v>p__Bacillota_A</v>
      </c>
      <c r="C136" s="1">
        <v>17</v>
      </c>
      <c r="D136" s="3">
        <v>3153219</v>
      </c>
      <c r="E136" s="3">
        <f t="shared" si="5"/>
        <v>3.153219</v>
      </c>
      <c r="F136" s="1">
        <v>6537</v>
      </c>
      <c r="G136" s="2">
        <v>185483.5</v>
      </c>
      <c r="H136" s="1">
        <v>500866</v>
      </c>
      <c r="M136" t="s">
        <v>39</v>
      </c>
      <c r="N136" t="s">
        <v>1589</v>
      </c>
    </row>
    <row r="137" spans="1:14" x14ac:dyDescent="0.25">
      <c r="A137" t="s">
        <v>40</v>
      </c>
      <c r="B137" t="str">
        <f t="shared" si="4"/>
        <v>p__Bacillota_A</v>
      </c>
      <c r="C137" s="1">
        <v>54</v>
      </c>
      <c r="D137" s="3">
        <v>2416404</v>
      </c>
      <c r="E137" s="3">
        <f t="shared" si="5"/>
        <v>2.416404</v>
      </c>
      <c r="F137" s="1">
        <v>3893</v>
      </c>
      <c r="G137" s="2">
        <v>44748.2</v>
      </c>
      <c r="H137" s="1">
        <v>229983</v>
      </c>
      <c r="M137" t="s">
        <v>40</v>
      </c>
      <c r="N137" t="s">
        <v>1589</v>
      </c>
    </row>
    <row r="138" spans="1:14" x14ac:dyDescent="0.25">
      <c r="A138" t="s">
        <v>41</v>
      </c>
      <c r="B138" t="str">
        <f t="shared" si="4"/>
        <v>p__Bacillota_A</v>
      </c>
      <c r="C138" s="1">
        <v>68</v>
      </c>
      <c r="D138" s="3">
        <v>3380946</v>
      </c>
      <c r="E138" s="3">
        <f t="shared" si="5"/>
        <v>3.3809459999999998</v>
      </c>
      <c r="F138" s="1">
        <v>2557</v>
      </c>
      <c r="G138" s="2">
        <v>49719.8</v>
      </c>
      <c r="H138" s="1">
        <v>213183</v>
      </c>
      <c r="M138" t="s">
        <v>41</v>
      </c>
      <c r="N138" t="s">
        <v>1589</v>
      </c>
    </row>
    <row r="139" spans="1:14" x14ac:dyDescent="0.25">
      <c r="A139" t="s">
        <v>237</v>
      </c>
      <c r="B139" t="str">
        <f t="shared" si="4"/>
        <v>p__Bacillota_A</v>
      </c>
      <c r="C139" s="1">
        <v>92</v>
      </c>
      <c r="D139" s="3">
        <v>2431099</v>
      </c>
      <c r="E139" s="3">
        <f t="shared" si="5"/>
        <v>2.4310990000000001</v>
      </c>
      <c r="F139" s="1">
        <v>2003</v>
      </c>
      <c r="G139" s="1">
        <v>26425</v>
      </c>
      <c r="H139" s="1">
        <v>121456</v>
      </c>
      <c r="M139" t="s">
        <v>237</v>
      </c>
      <c r="N139" t="s">
        <v>1589</v>
      </c>
    </row>
    <row r="140" spans="1:14" x14ac:dyDescent="0.25">
      <c r="A140" t="s">
        <v>238</v>
      </c>
      <c r="B140" t="str">
        <f t="shared" si="4"/>
        <v>p__Bacillota_A</v>
      </c>
      <c r="C140" s="1">
        <v>99</v>
      </c>
      <c r="D140" s="3">
        <v>3753984</v>
      </c>
      <c r="E140" s="3">
        <f t="shared" si="5"/>
        <v>3.753984</v>
      </c>
      <c r="F140" s="1">
        <v>2225</v>
      </c>
      <c r="G140" s="1">
        <v>37919</v>
      </c>
      <c r="H140" s="1">
        <v>229578</v>
      </c>
      <c r="M140" t="s">
        <v>238</v>
      </c>
      <c r="N140" t="s">
        <v>1589</v>
      </c>
    </row>
    <row r="141" spans="1:14" x14ac:dyDescent="0.25">
      <c r="A141" t="s">
        <v>239</v>
      </c>
      <c r="B141" t="str">
        <f t="shared" si="4"/>
        <v>p__Bacillota_A</v>
      </c>
      <c r="C141" s="1">
        <v>262</v>
      </c>
      <c r="D141" s="3">
        <v>2680470</v>
      </c>
      <c r="E141" s="3">
        <f t="shared" si="5"/>
        <v>2.6804700000000001</v>
      </c>
      <c r="F141" s="2">
        <v>2002</v>
      </c>
      <c r="G141" s="1">
        <v>10230.799999999999</v>
      </c>
      <c r="H141" s="1">
        <v>134377</v>
      </c>
      <c r="M141" t="s">
        <v>239</v>
      </c>
      <c r="N141" t="s">
        <v>1589</v>
      </c>
    </row>
    <row r="142" spans="1:14" x14ac:dyDescent="0.25">
      <c r="A142" t="s">
        <v>240</v>
      </c>
      <c r="B142" t="str">
        <f t="shared" si="4"/>
        <v>p__Bacillota_A</v>
      </c>
      <c r="C142" s="1">
        <v>53</v>
      </c>
      <c r="D142" s="3">
        <v>2460609</v>
      </c>
      <c r="E142" s="3">
        <f t="shared" si="5"/>
        <v>2.4606089999999998</v>
      </c>
      <c r="F142" s="1">
        <v>2042</v>
      </c>
      <c r="G142" s="2">
        <v>46426.6</v>
      </c>
      <c r="H142" s="1">
        <v>272842</v>
      </c>
      <c r="M142" t="s">
        <v>240</v>
      </c>
      <c r="N142" t="s">
        <v>1589</v>
      </c>
    </row>
    <row r="143" spans="1:14" x14ac:dyDescent="0.25">
      <c r="A143" t="s">
        <v>241</v>
      </c>
      <c r="B143" t="str">
        <f t="shared" si="4"/>
        <v>p__Bacillota_A</v>
      </c>
      <c r="C143" s="1">
        <v>38</v>
      </c>
      <c r="D143" s="3">
        <v>1972766</v>
      </c>
      <c r="E143" s="3">
        <f t="shared" si="5"/>
        <v>1.972766</v>
      </c>
      <c r="F143" s="1">
        <v>2233</v>
      </c>
      <c r="G143" s="2">
        <v>51914.9</v>
      </c>
      <c r="H143" s="1">
        <v>277003</v>
      </c>
      <c r="M143" t="s">
        <v>241</v>
      </c>
      <c r="N143" t="s">
        <v>1589</v>
      </c>
    </row>
    <row r="144" spans="1:14" x14ac:dyDescent="0.25">
      <c r="A144" t="s">
        <v>242</v>
      </c>
      <c r="B144" t="str">
        <f t="shared" si="4"/>
        <v>p__Bacillota_A</v>
      </c>
      <c r="C144" s="1">
        <v>35</v>
      </c>
      <c r="D144" s="3">
        <v>2163913</v>
      </c>
      <c r="E144" s="3">
        <f t="shared" si="5"/>
        <v>2.163913</v>
      </c>
      <c r="F144" s="1">
        <v>3551</v>
      </c>
      <c r="G144" s="2">
        <v>61826.1</v>
      </c>
      <c r="H144" s="1">
        <v>376968</v>
      </c>
      <c r="M144" t="s">
        <v>242</v>
      </c>
      <c r="N144" t="s">
        <v>1589</v>
      </c>
    </row>
    <row r="145" spans="1:14" x14ac:dyDescent="0.25">
      <c r="A145" t="s">
        <v>243</v>
      </c>
      <c r="B145" t="str">
        <f t="shared" si="4"/>
        <v>p__Bacillota_A</v>
      </c>
      <c r="C145" s="1">
        <v>39</v>
      </c>
      <c r="D145" s="3">
        <v>2907370</v>
      </c>
      <c r="E145" s="3">
        <f t="shared" si="5"/>
        <v>2.9073699999999998</v>
      </c>
      <c r="F145" s="1">
        <v>6404</v>
      </c>
      <c r="G145" s="2">
        <v>74547.899999999994</v>
      </c>
      <c r="H145" s="1">
        <v>236516</v>
      </c>
      <c r="M145" t="s">
        <v>243</v>
      </c>
      <c r="N145" t="s">
        <v>1589</v>
      </c>
    </row>
    <row r="146" spans="1:14" x14ac:dyDescent="0.25">
      <c r="A146" t="s">
        <v>244</v>
      </c>
      <c r="B146" t="str">
        <f t="shared" si="4"/>
        <v>p__Bacillota_A</v>
      </c>
      <c r="C146" s="1">
        <v>40</v>
      </c>
      <c r="D146" s="3">
        <v>2675799</v>
      </c>
      <c r="E146" s="3">
        <f t="shared" si="5"/>
        <v>2.675799</v>
      </c>
      <c r="F146" s="1">
        <v>2469</v>
      </c>
      <c r="G146" s="1">
        <v>66895</v>
      </c>
      <c r="H146" s="1">
        <v>203294</v>
      </c>
      <c r="M146" t="s">
        <v>244</v>
      </c>
      <c r="N146" t="s">
        <v>1589</v>
      </c>
    </row>
    <row r="147" spans="1:14" x14ac:dyDescent="0.25">
      <c r="A147" t="s">
        <v>245</v>
      </c>
      <c r="B147" t="str">
        <f t="shared" si="4"/>
        <v>p__Bacillota_A</v>
      </c>
      <c r="C147" s="1">
        <v>16</v>
      </c>
      <c r="D147" s="3">
        <v>2720630</v>
      </c>
      <c r="E147" s="3">
        <f t="shared" si="5"/>
        <v>2.7206299999999999</v>
      </c>
      <c r="F147" s="1">
        <v>4612</v>
      </c>
      <c r="G147" s="2">
        <v>170039.4</v>
      </c>
      <c r="H147" s="1">
        <v>477243</v>
      </c>
      <c r="M147" t="s">
        <v>245</v>
      </c>
      <c r="N147" t="s">
        <v>1589</v>
      </c>
    </row>
    <row r="148" spans="1:14" x14ac:dyDescent="0.25">
      <c r="A148" t="s">
        <v>246</v>
      </c>
      <c r="B148" t="str">
        <f t="shared" si="4"/>
        <v>p__Bacillota_A</v>
      </c>
      <c r="C148" s="1">
        <v>70</v>
      </c>
      <c r="D148" s="3">
        <v>2033310</v>
      </c>
      <c r="E148" s="3">
        <f t="shared" si="5"/>
        <v>2.0333100000000002</v>
      </c>
      <c r="F148" s="1">
        <v>2037</v>
      </c>
      <c r="G148" s="2">
        <v>29047.3</v>
      </c>
      <c r="H148" s="1">
        <v>107963</v>
      </c>
      <c r="M148" t="s">
        <v>246</v>
      </c>
      <c r="N148" t="s">
        <v>1589</v>
      </c>
    </row>
    <row r="149" spans="1:14" x14ac:dyDescent="0.25">
      <c r="A149" t="s">
        <v>247</v>
      </c>
      <c r="B149" t="str">
        <f t="shared" si="4"/>
        <v>p__Bacillota_A</v>
      </c>
      <c r="C149" s="1">
        <v>45</v>
      </c>
      <c r="D149" s="3">
        <v>2778870</v>
      </c>
      <c r="E149" s="3">
        <f t="shared" si="5"/>
        <v>2.77887</v>
      </c>
      <c r="F149" s="1">
        <v>2384</v>
      </c>
      <c r="G149" s="2">
        <v>61752.7</v>
      </c>
      <c r="H149" s="1">
        <v>222383</v>
      </c>
      <c r="M149" t="s">
        <v>247</v>
      </c>
      <c r="N149" t="s">
        <v>1589</v>
      </c>
    </row>
    <row r="150" spans="1:14" x14ac:dyDescent="0.25">
      <c r="A150" t="s">
        <v>248</v>
      </c>
      <c r="B150" t="str">
        <f t="shared" si="4"/>
        <v>p__Bacillota_A</v>
      </c>
      <c r="C150" s="1">
        <v>110</v>
      </c>
      <c r="D150" s="3">
        <v>2015507</v>
      </c>
      <c r="E150" s="3">
        <f t="shared" si="5"/>
        <v>2.0155069999999999</v>
      </c>
      <c r="F150" s="2">
        <v>2025</v>
      </c>
      <c r="G150" s="1">
        <v>18322.8</v>
      </c>
      <c r="H150" s="1">
        <v>240530</v>
      </c>
      <c r="M150" t="s">
        <v>248</v>
      </c>
      <c r="N150" t="s">
        <v>1589</v>
      </c>
    </row>
    <row r="151" spans="1:14" x14ac:dyDescent="0.25">
      <c r="A151" t="s">
        <v>249</v>
      </c>
      <c r="B151" t="str">
        <f t="shared" si="4"/>
        <v>p__Bacillota_A</v>
      </c>
      <c r="C151" s="1">
        <v>46</v>
      </c>
      <c r="D151" s="3">
        <v>1844599</v>
      </c>
      <c r="E151" s="3">
        <f t="shared" si="5"/>
        <v>1.8445990000000001</v>
      </c>
      <c r="F151" s="1">
        <v>4272</v>
      </c>
      <c r="G151" s="1">
        <v>40100</v>
      </c>
      <c r="H151" s="1">
        <v>148927</v>
      </c>
      <c r="M151" t="s">
        <v>249</v>
      </c>
      <c r="N151" t="s">
        <v>1589</v>
      </c>
    </row>
    <row r="152" spans="1:14" x14ac:dyDescent="0.25">
      <c r="A152" t="s">
        <v>250</v>
      </c>
      <c r="B152" t="str">
        <f t="shared" si="4"/>
        <v>p__Bacillota_A</v>
      </c>
      <c r="C152" s="1">
        <v>41</v>
      </c>
      <c r="D152" s="3">
        <v>1946481</v>
      </c>
      <c r="E152" s="3">
        <f t="shared" si="5"/>
        <v>1.9464809999999999</v>
      </c>
      <c r="F152" s="1">
        <v>2011</v>
      </c>
      <c r="G152" s="2">
        <v>47475.1</v>
      </c>
      <c r="H152" s="1">
        <v>208393</v>
      </c>
      <c r="M152" t="s">
        <v>250</v>
      </c>
      <c r="N152" t="s">
        <v>1589</v>
      </c>
    </row>
    <row r="153" spans="1:14" x14ac:dyDescent="0.25">
      <c r="A153" t="s">
        <v>251</v>
      </c>
      <c r="B153" t="str">
        <f t="shared" si="4"/>
        <v>p__Bacillota_A</v>
      </c>
      <c r="C153" s="1">
        <v>15</v>
      </c>
      <c r="D153" s="3">
        <v>1621273</v>
      </c>
      <c r="E153" s="3">
        <f t="shared" si="5"/>
        <v>1.621273</v>
      </c>
      <c r="F153" s="1">
        <v>5997</v>
      </c>
      <c r="G153" s="2">
        <v>108084.9</v>
      </c>
      <c r="H153" s="1">
        <v>345282</v>
      </c>
      <c r="M153" t="s">
        <v>251</v>
      </c>
      <c r="N153" t="s">
        <v>1589</v>
      </c>
    </row>
    <row r="154" spans="1:14" x14ac:dyDescent="0.25">
      <c r="A154" t="s">
        <v>252</v>
      </c>
      <c r="B154" t="str">
        <f t="shared" si="4"/>
        <v>p__Bacillota_A</v>
      </c>
      <c r="C154" s="1">
        <v>29</v>
      </c>
      <c r="D154" s="3">
        <v>2848083</v>
      </c>
      <c r="E154" s="3">
        <f t="shared" si="5"/>
        <v>2.8480829999999999</v>
      </c>
      <c r="F154" s="1">
        <v>2996</v>
      </c>
      <c r="G154" s="2">
        <v>98209.8</v>
      </c>
      <c r="H154" s="1">
        <v>515104</v>
      </c>
      <c r="M154" t="s">
        <v>252</v>
      </c>
      <c r="N154" t="s">
        <v>1589</v>
      </c>
    </row>
    <row r="155" spans="1:14" x14ac:dyDescent="0.25">
      <c r="A155" t="s">
        <v>253</v>
      </c>
      <c r="B155" t="str">
        <f t="shared" si="4"/>
        <v>p__Bacillota_A</v>
      </c>
      <c r="C155" s="1">
        <v>36</v>
      </c>
      <c r="D155" s="3">
        <v>1524825</v>
      </c>
      <c r="E155" s="3">
        <f t="shared" si="5"/>
        <v>1.5248250000000001</v>
      </c>
      <c r="F155" s="1">
        <v>7801</v>
      </c>
      <c r="G155" s="2">
        <v>42356.3</v>
      </c>
      <c r="H155" s="1">
        <v>226986</v>
      </c>
      <c r="M155" t="s">
        <v>253</v>
      </c>
      <c r="N155" t="s">
        <v>1589</v>
      </c>
    </row>
    <row r="156" spans="1:14" x14ac:dyDescent="0.25">
      <c r="A156" t="s">
        <v>254</v>
      </c>
      <c r="B156" t="str">
        <f t="shared" si="4"/>
        <v>p__Bacillota_A</v>
      </c>
      <c r="C156" s="1">
        <v>4</v>
      </c>
      <c r="D156" s="3">
        <v>1948915</v>
      </c>
      <c r="E156" s="3">
        <f t="shared" si="5"/>
        <v>1.948915</v>
      </c>
      <c r="F156" s="1">
        <v>210298</v>
      </c>
      <c r="G156" s="2">
        <v>487228.8</v>
      </c>
      <c r="H156" s="1">
        <v>703648</v>
      </c>
      <c r="M156" t="s">
        <v>254</v>
      </c>
      <c r="N156" t="s">
        <v>1589</v>
      </c>
    </row>
    <row r="157" spans="1:14" x14ac:dyDescent="0.25">
      <c r="A157" t="s">
        <v>255</v>
      </c>
      <c r="B157" t="str">
        <f t="shared" si="4"/>
        <v>p__Bacillota_A</v>
      </c>
      <c r="C157" s="1">
        <v>72</v>
      </c>
      <c r="D157" s="3">
        <v>1559389</v>
      </c>
      <c r="E157" s="3">
        <f t="shared" si="5"/>
        <v>1.5593889999999999</v>
      </c>
      <c r="F157" s="1">
        <v>2048</v>
      </c>
      <c r="G157" s="2">
        <v>21658.2</v>
      </c>
      <c r="H157" s="1">
        <v>122251</v>
      </c>
      <c r="M157" t="s">
        <v>255</v>
      </c>
      <c r="N157" t="s">
        <v>1589</v>
      </c>
    </row>
    <row r="158" spans="1:14" x14ac:dyDescent="0.25">
      <c r="A158" t="s">
        <v>256</v>
      </c>
      <c r="B158" t="str">
        <f t="shared" si="4"/>
        <v>p__Bacillota_A</v>
      </c>
      <c r="C158" s="1">
        <v>90</v>
      </c>
      <c r="D158" s="3">
        <v>1771322</v>
      </c>
      <c r="E158" s="3">
        <f t="shared" si="5"/>
        <v>1.7713220000000001</v>
      </c>
      <c r="F158" s="1">
        <v>2002</v>
      </c>
      <c r="G158" s="2">
        <v>19681.400000000001</v>
      </c>
      <c r="H158" s="1">
        <v>182945</v>
      </c>
      <c r="M158" t="s">
        <v>256</v>
      </c>
      <c r="N158" t="s">
        <v>1589</v>
      </c>
    </row>
    <row r="159" spans="1:14" x14ac:dyDescent="0.25">
      <c r="A159" t="s">
        <v>257</v>
      </c>
      <c r="B159" t="str">
        <f t="shared" si="4"/>
        <v>p__Bacillota_A</v>
      </c>
      <c r="C159" s="1">
        <v>27</v>
      </c>
      <c r="D159" s="3">
        <v>3175992</v>
      </c>
      <c r="E159" s="3">
        <f t="shared" si="5"/>
        <v>3.1759919999999999</v>
      </c>
      <c r="F159" s="1">
        <v>2072</v>
      </c>
      <c r="G159" s="2">
        <v>117629.3</v>
      </c>
      <c r="H159" s="1">
        <v>608066</v>
      </c>
      <c r="M159" t="s">
        <v>257</v>
      </c>
      <c r="N159" t="s">
        <v>1589</v>
      </c>
    </row>
    <row r="160" spans="1:14" x14ac:dyDescent="0.25">
      <c r="A160" t="s">
        <v>258</v>
      </c>
      <c r="B160" t="str">
        <f t="shared" si="4"/>
        <v>p__Bacillota_A</v>
      </c>
      <c r="C160" s="1">
        <v>298</v>
      </c>
      <c r="D160" s="3">
        <v>2481576</v>
      </c>
      <c r="E160" s="3">
        <f t="shared" si="5"/>
        <v>2.481576</v>
      </c>
      <c r="F160" s="2">
        <v>2004</v>
      </c>
      <c r="G160" s="1">
        <v>8327.4</v>
      </c>
      <c r="H160" s="1">
        <v>53201</v>
      </c>
      <c r="M160" t="s">
        <v>258</v>
      </c>
      <c r="N160" t="s">
        <v>1589</v>
      </c>
    </row>
    <row r="161" spans="1:14" x14ac:dyDescent="0.25">
      <c r="A161" t="s">
        <v>259</v>
      </c>
      <c r="B161" t="str">
        <f t="shared" si="4"/>
        <v>p__Bacillota_A</v>
      </c>
      <c r="C161" s="1">
        <v>31</v>
      </c>
      <c r="D161" s="3">
        <v>1296450</v>
      </c>
      <c r="E161" s="3">
        <f t="shared" si="5"/>
        <v>1.2964500000000001</v>
      </c>
      <c r="F161" s="1">
        <v>2015</v>
      </c>
      <c r="G161" s="1">
        <v>41821</v>
      </c>
      <c r="H161" s="1">
        <v>215600</v>
      </c>
      <c r="M161" t="s">
        <v>259</v>
      </c>
      <c r="N161" t="s">
        <v>1589</v>
      </c>
    </row>
    <row r="162" spans="1:14" x14ac:dyDescent="0.25">
      <c r="A162" t="s">
        <v>260</v>
      </c>
      <c r="B162" t="str">
        <f t="shared" si="4"/>
        <v>p__Bacillota_A</v>
      </c>
      <c r="C162" s="1">
        <v>13</v>
      </c>
      <c r="D162" s="3">
        <v>1955853</v>
      </c>
      <c r="E162" s="3">
        <f t="shared" si="5"/>
        <v>1.9558530000000001</v>
      </c>
      <c r="F162" s="1">
        <v>2446</v>
      </c>
      <c r="G162" s="2">
        <v>150450.20000000001</v>
      </c>
      <c r="H162" s="1">
        <v>613869</v>
      </c>
      <c r="M162" t="s">
        <v>260</v>
      </c>
      <c r="N162" t="s">
        <v>1589</v>
      </c>
    </row>
    <row r="163" spans="1:14" x14ac:dyDescent="0.25">
      <c r="A163" t="s">
        <v>261</v>
      </c>
      <c r="B163" t="str">
        <f t="shared" si="4"/>
        <v>p__Bacillota_A</v>
      </c>
      <c r="C163" s="1">
        <v>30</v>
      </c>
      <c r="D163" s="3">
        <v>1629313</v>
      </c>
      <c r="E163" s="3">
        <f t="shared" si="5"/>
        <v>1.629313</v>
      </c>
      <c r="F163" s="1">
        <v>2332</v>
      </c>
      <c r="G163" s="2">
        <v>54310.400000000001</v>
      </c>
      <c r="H163" s="1">
        <v>252086</v>
      </c>
      <c r="M163" t="s">
        <v>261</v>
      </c>
      <c r="N163" t="s">
        <v>1589</v>
      </c>
    </row>
    <row r="164" spans="1:14" x14ac:dyDescent="0.25">
      <c r="A164" t="s">
        <v>262</v>
      </c>
      <c r="B164" t="str">
        <f t="shared" si="4"/>
        <v>p__Bacillota_A</v>
      </c>
      <c r="C164" s="1">
        <v>138</v>
      </c>
      <c r="D164" s="3">
        <v>1683897</v>
      </c>
      <c r="E164" s="3">
        <f t="shared" si="5"/>
        <v>1.683897</v>
      </c>
      <c r="F164" s="2">
        <v>2048</v>
      </c>
      <c r="G164" s="1">
        <v>12202.2</v>
      </c>
      <c r="H164" s="1">
        <v>70141</v>
      </c>
      <c r="M164" t="s">
        <v>262</v>
      </c>
      <c r="N164" t="s">
        <v>1589</v>
      </c>
    </row>
    <row r="165" spans="1:14" x14ac:dyDescent="0.25">
      <c r="A165" t="s">
        <v>263</v>
      </c>
      <c r="B165" t="str">
        <f t="shared" si="4"/>
        <v>p__Bacillota_A</v>
      </c>
      <c r="C165" s="1">
        <v>139</v>
      </c>
      <c r="D165" s="3">
        <v>2949251</v>
      </c>
      <c r="E165" s="3">
        <f t="shared" si="5"/>
        <v>2.9492509999999998</v>
      </c>
      <c r="F165" s="2">
        <v>2142</v>
      </c>
      <c r="G165" s="1">
        <v>21217.599999999999</v>
      </c>
      <c r="H165" s="1">
        <v>122142</v>
      </c>
      <c r="M165" t="s">
        <v>263</v>
      </c>
      <c r="N165" t="s">
        <v>1589</v>
      </c>
    </row>
    <row r="166" spans="1:14" x14ac:dyDescent="0.25">
      <c r="A166" t="s">
        <v>264</v>
      </c>
      <c r="B166" t="str">
        <f t="shared" si="4"/>
        <v>p__Bacillota_A</v>
      </c>
      <c r="C166" s="1">
        <v>6</v>
      </c>
      <c r="D166" s="3">
        <v>2117585</v>
      </c>
      <c r="E166" s="3">
        <f t="shared" si="5"/>
        <v>2.1175850000000001</v>
      </c>
      <c r="F166" s="1">
        <v>33805</v>
      </c>
      <c r="G166" s="2">
        <v>352930.8</v>
      </c>
      <c r="H166" s="1">
        <v>1005082</v>
      </c>
      <c r="M166" t="s">
        <v>264</v>
      </c>
      <c r="N166" t="s">
        <v>1589</v>
      </c>
    </row>
    <row r="167" spans="1:14" x14ac:dyDescent="0.25">
      <c r="A167" t="s">
        <v>265</v>
      </c>
      <c r="B167" t="str">
        <f t="shared" si="4"/>
        <v>p__Bacillota_A</v>
      </c>
      <c r="C167" s="1">
        <v>12</v>
      </c>
      <c r="D167" s="3">
        <v>2280229</v>
      </c>
      <c r="E167" s="3">
        <f t="shared" si="5"/>
        <v>2.2802289999999998</v>
      </c>
      <c r="F167" s="1">
        <v>2201</v>
      </c>
      <c r="G167" s="2">
        <v>190019.1</v>
      </c>
      <c r="H167" s="1">
        <v>527129</v>
      </c>
      <c r="M167" t="s">
        <v>265</v>
      </c>
      <c r="N167" t="s">
        <v>1589</v>
      </c>
    </row>
    <row r="168" spans="1:14" x14ac:dyDescent="0.25">
      <c r="A168" t="s">
        <v>266</v>
      </c>
      <c r="B168" t="str">
        <f t="shared" si="4"/>
        <v>p__Bacillota_A</v>
      </c>
      <c r="C168" s="1">
        <v>52</v>
      </c>
      <c r="D168" s="3">
        <v>2271252</v>
      </c>
      <c r="E168" s="3">
        <f t="shared" si="5"/>
        <v>2.271252</v>
      </c>
      <c r="F168" s="1">
        <v>2133</v>
      </c>
      <c r="G168" s="2">
        <v>43677.9</v>
      </c>
      <c r="H168" s="1">
        <v>205855</v>
      </c>
      <c r="M168" t="s">
        <v>266</v>
      </c>
      <c r="N168" t="s">
        <v>1589</v>
      </c>
    </row>
    <row r="169" spans="1:14" x14ac:dyDescent="0.25">
      <c r="A169" t="s">
        <v>267</v>
      </c>
      <c r="B169" t="str">
        <f t="shared" si="4"/>
        <v>p__Bacillota_A</v>
      </c>
      <c r="C169" s="1">
        <v>55</v>
      </c>
      <c r="D169" s="3">
        <v>2110729</v>
      </c>
      <c r="E169" s="3">
        <f t="shared" si="5"/>
        <v>2.1107290000000001</v>
      </c>
      <c r="F169" s="1">
        <v>2007</v>
      </c>
      <c r="G169" s="2">
        <v>38376.9</v>
      </c>
      <c r="H169" s="1">
        <v>186305</v>
      </c>
      <c r="M169" t="s">
        <v>267</v>
      </c>
      <c r="N169" t="s">
        <v>1589</v>
      </c>
    </row>
    <row r="170" spans="1:14" x14ac:dyDescent="0.25">
      <c r="A170" t="s">
        <v>268</v>
      </c>
      <c r="B170" t="str">
        <f t="shared" si="4"/>
        <v>p__Bacillota_A</v>
      </c>
      <c r="C170" s="1">
        <v>31</v>
      </c>
      <c r="D170" s="3">
        <v>1965670</v>
      </c>
      <c r="E170" s="3">
        <f t="shared" si="5"/>
        <v>1.96567</v>
      </c>
      <c r="F170" s="1">
        <v>4381</v>
      </c>
      <c r="G170" s="2">
        <v>63408.7</v>
      </c>
      <c r="H170" s="1">
        <v>268435</v>
      </c>
      <c r="M170" t="s">
        <v>268</v>
      </c>
      <c r="N170" t="s">
        <v>1589</v>
      </c>
    </row>
    <row r="171" spans="1:14" x14ac:dyDescent="0.25">
      <c r="A171" t="s">
        <v>269</v>
      </c>
      <c r="B171" t="str">
        <f t="shared" si="4"/>
        <v>p__Bacillota_A</v>
      </c>
      <c r="C171" s="1">
        <v>11</v>
      </c>
      <c r="D171" s="3">
        <v>2152514</v>
      </c>
      <c r="E171" s="3">
        <f t="shared" si="5"/>
        <v>2.152514</v>
      </c>
      <c r="F171" s="1">
        <v>77489</v>
      </c>
      <c r="G171" s="2">
        <v>195683.1</v>
      </c>
      <c r="H171" s="1">
        <v>349751</v>
      </c>
      <c r="M171" t="s">
        <v>269</v>
      </c>
      <c r="N171" t="s">
        <v>1589</v>
      </c>
    </row>
    <row r="172" spans="1:14" x14ac:dyDescent="0.25">
      <c r="A172" t="s">
        <v>270</v>
      </c>
      <c r="B172" t="str">
        <f t="shared" si="4"/>
        <v>p__Bacillota_A</v>
      </c>
      <c r="C172" s="1">
        <v>14</v>
      </c>
      <c r="D172" s="3">
        <v>1714752</v>
      </c>
      <c r="E172" s="3">
        <f t="shared" si="5"/>
        <v>1.7147520000000001</v>
      </c>
      <c r="F172" s="1">
        <v>3124</v>
      </c>
      <c r="G172" s="2">
        <v>122482.3</v>
      </c>
      <c r="H172" s="1">
        <v>680290</v>
      </c>
      <c r="M172" t="s">
        <v>270</v>
      </c>
      <c r="N172" t="s">
        <v>1589</v>
      </c>
    </row>
    <row r="173" spans="1:14" x14ac:dyDescent="0.25">
      <c r="A173" t="s">
        <v>271</v>
      </c>
      <c r="B173" t="str">
        <f t="shared" si="4"/>
        <v>p__Bacillota_A</v>
      </c>
      <c r="C173" s="1">
        <v>252</v>
      </c>
      <c r="D173" s="3">
        <v>1748799</v>
      </c>
      <c r="E173" s="3">
        <f t="shared" si="5"/>
        <v>1.748799</v>
      </c>
      <c r="F173" s="2">
        <v>2522</v>
      </c>
      <c r="G173" s="1">
        <v>6939.7</v>
      </c>
      <c r="H173" s="1">
        <v>101954</v>
      </c>
      <c r="M173" t="s">
        <v>271</v>
      </c>
      <c r="N173" t="s">
        <v>1589</v>
      </c>
    </row>
    <row r="174" spans="1:14" x14ac:dyDescent="0.25">
      <c r="A174" t="s">
        <v>272</v>
      </c>
      <c r="B174" t="str">
        <f t="shared" si="4"/>
        <v>p__Bacillota_A</v>
      </c>
      <c r="C174" s="1">
        <v>14</v>
      </c>
      <c r="D174" s="3">
        <v>1989790</v>
      </c>
      <c r="E174" s="3">
        <f t="shared" si="5"/>
        <v>1.9897899999999999</v>
      </c>
      <c r="F174" s="1">
        <v>2965</v>
      </c>
      <c r="G174" s="2">
        <v>142127.9</v>
      </c>
      <c r="H174" s="1">
        <v>498294</v>
      </c>
      <c r="M174" t="s">
        <v>272</v>
      </c>
      <c r="N174" t="s">
        <v>1589</v>
      </c>
    </row>
    <row r="175" spans="1:14" x14ac:dyDescent="0.25">
      <c r="A175" t="s">
        <v>273</v>
      </c>
      <c r="B175" t="str">
        <f t="shared" si="4"/>
        <v>p__Bacillota_A</v>
      </c>
      <c r="C175" s="1">
        <v>230</v>
      </c>
      <c r="D175" s="3">
        <v>1312542</v>
      </c>
      <c r="E175" s="3">
        <f t="shared" si="5"/>
        <v>1.3125420000000001</v>
      </c>
      <c r="F175" s="2">
        <v>2000</v>
      </c>
      <c r="G175" s="1">
        <v>5706.7</v>
      </c>
      <c r="H175" s="1">
        <v>39718</v>
      </c>
      <c r="M175" t="s">
        <v>273</v>
      </c>
      <c r="N175" t="s">
        <v>1589</v>
      </c>
    </row>
    <row r="176" spans="1:14" x14ac:dyDescent="0.25">
      <c r="A176" t="s">
        <v>274</v>
      </c>
      <c r="B176" t="str">
        <f t="shared" si="4"/>
        <v>p__Bacillota_A</v>
      </c>
      <c r="C176" s="1">
        <v>15</v>
      </c>
      <c r="D176" s="3">
        <v>1657872</v>
      </c>
      <c r="E176" s="3">
        <f t="shared" si="5"/>
        <v>1.657872</v>
      </c>
      <c r="F176" s="1">
        <v>2337</v>
      </c>
      <c r="G176" s="2">
        <v>110524.8</v>
      </c>
      <c r="H176" s="1">
        <v>428649</v>
      </c>
      <c r="M176" t="s">
        <v>274</v>
      </c>
      <c r="N176" t="s">
        <v>1589</v>
      </c>
    </row>
    <row r="177" spans="1:14" x14ac:dyDescent="0.25">
      <c r="A177" t="s">
        <v>275</v>
      </c>
      <c r="B177" t="str">
        <f t="shared" si="4"/>
        <v>p__Bacillota_A</v>
      </c>
      <c r="C177" s="1">
        <v>152</v>
      </c>
      <c r="D177" s="3">
        <v>1352463</v>
      </c>
      <c r="E177" s="3">
        <f t="shared" si="5"/>
        <v>1.352463</v>
      </c>
      <c r="F177" s="2">
        <v>2005</v>
      </c>
      <c r="G177" s="1">
        <v>8897.7999999999993</v>
      </c>
      <c r="H177" s="1">
        <v>64323</v>
      </c>
      <c r="M177" t="s">
        <v>275</v>
      </c>
      <c r="N177" t="s">
        <v>1589</v>
      </c>
    </row>
    <row r="178" spans="1:14" x14ac:dyDescent="0.25">
      <c r="A178" t="s">
        <v>276</v>
      </c>
      <c r="B178" t="str">
        <f t="shared" si="4"/>
        <v>p__Bacillota_A</v>
      </c>
      <c r="C178" s="1">
        <v>99</v>
      </c>
      <c r="D178" s="3">
        <v>2562474</v>
      </c>
      <c r="E178" s="3">
        <f t="shared" si="5"/>
        <v>2.5624739999999999</v>
      </c>
      <c r="F178" s="1">
        <v>4651</v>
      </c>
      <c r="G178" s="2">
        <v>25883.599999999999</v>
      </c>
      <c r="H178" s="1">
        <v>164619</v>
      </c>
      <c r="M178" t="s">
        <v>276</v>
      </c>
      <c r="N178" t="s">
        <v>1589</v>
      </c>
    </row>
    <row r="179" spans="1:14" x14ac:dyDescent="0.25">
      <c r="A179" t="s">
        <v>277</v>
      </c>
      <c r="B179" t="str">
        <f t="shared" si="4"/>
        <v>p__Bacillota_A</v>
      </c>
      <c r="C179" s="1">
        <v>15</v>
      </c>
      <c r="D179" s="3">
        <v>2078368</v>
      </c>
      <c r="E179" s="3">
        <f t="shared" si="5"/>
        <v>2.0783680000000002</v>
      </c>
      <c r="F179" s="1">
        <v>11324</v>
      </c>
      <c r="G179" s="2">
        <v>138557.9</v>
      </c>
      <c r="H179" s="1">
        <v>343822</v>
      </c>
      <c r="M179" t="s">
        <v>277</v>
      </c>
      <c r="N179" t="s">
        <v>1589</v>
      </c>
    </row>
    <row r="180" spans="1:14" x14ac:dyDescent="0.25">
      <c r="A180" t="s">
        <v>278</v>
      </c>
      <c r="B180" t="str">
        <f t="shared" si="4"/>
        <v>p__Bacillota_A</v>
      </c>
      <c r="C180" s="1">
        <v>105</v>
      </c>
      <c r="D180" s="3">
        <v>2565332</v>
      </c>
      <c r="E180" s="3">
        <f t="shared" si="5"/>
        <v>2.5653320000000002</v>
      </c>
      <c r="F180" s="2">
        <v>2551</v>
      </c>
      <c r="G180" s="1">
        <v>24431.7</v>
      </c>
      <c r="H180" s="1">
        <v>144446</v>
      </c>
      <c r="M180" t="s">
        <v>278</v>
      </c>
      <c r="N180" t="s">
        <v>1589</v>
      </c>
    </row>
    <row r="181" spans="1:14" x14ac:dyDescent="0.25">
      <c r="A181" t="s">
        <v>279</v>
      </c>
      <c r="B181" t="str">
        <f t="shared" si="4"/>
        <v>p__Bacillota_A</v>
      </c>
      <c r="C181" s="1">
        <v>39</v>
      </c>
      <c r="D181" s="3">
        <v>2054758</v>
      </c>
      <c r="E181" s="3">
        <f t="shared" si="5"/>
        <v>2.0547580000000001</v>
      </c>
      <c r="F181" s="1">
        <v>2444</v>
      </c>
      <c r="G181" s="2">
        <v>52686.1</v>
      </c>
      <c r="H181" s="1">
        <v>238239</v>
      </c>
      <c r="M181" t="s">
        <v>279</v>
      </c>
      <c r="N181" t="s">
        <v>1589</v>
      </c>
    </row>
    <row r="182" spans="1:14" x14ac:dyDescent="0.25">
      <c r="A182" t="s">
        <v>280</v>
      </c>
      <c r="B182" t="str">
        <f t="shared" si="4"/>
        <v>p__Bacillota_A</v>
      </c>
      <c r="C182" s="1">
        <v>33</v>
      </c>
      <c r="D182" s="3">
        <v>1381254</v>
      </c>
      <c r="E182" s="3">
        <f t="shared" si="5"/>
        <v>1.381254</v>
      </c>
      <c r="F182" s="1">
        <v>5857</v>
      </c>
      <c r="G182" s="2">
        <v>41856.199999999997</v>
      </c>
      <c r="H182" s="1">
        <v>137835</v>
      </c>
      <c r="M182" t="s">
        <v>280</v>
      </c>
      <c r="N182" t="s">
        <v>1589</v>
      </c>
    </row>
    <row r="183" spans="1:14" x14ac:dyDescent="0.25">
      <c r="A183" t="s">
        <v>281</v>
      </c>
      <c r="B183" t="str">
        <f t="shared" si="4"/>
        <v>p__Bacillota_A</v>
      </c>
      <c r="C183" s="1">
        <v>4</v>
      </c>
      <c r="D183" s="3">
        <v>1117019</v>
      </c>
      <c r="E183" s="3">
        <f t="shared" si="5"/>
        <v>1.117019</v>
      </c>
      <c r="F183" s="1">
        <v>66819</v>
      </c>
      <c r="G183" s="2">
        <v>279254.8</v>
      </c>
      <c r="H183" s="1">
        <v>514013</v>
      </c>
      <c r="M183" t="s">
        <v>281</v>
      </c>
      <c r="N183" t="s">
        <v>1589</v>
      </c>
    </row>
    <row r="184" spans="1:14" x14ac:dyDescent="0.25">
      <c r="A184" t="s">
        <v>282</v>
      </c>
      <c r="B184" t="str">
        <f t="shared" si="4"/>
        <v>p__Bacillota_A</v>
      </c>
      <c r="C184" s="1">
        <v>17</v>
      </c>
      <c r="D184" s="3">
        <v>1619451</v>
      </c>
      <c r="E184" s="3">
        <f t="shared" si="5"/>
        <v>1.619451</v>
      </c>
      <c r="F184" s="1">
        <v>5670</v>
      </c>
      <c r="G184" s="2">
        <v>95261.8</v>
      </c>
      <c r="H184" s="1">
        <v>394292</v>
      </c>
      <c r="M184" t="s">
        <v>282</v>
      </c>
      <c r="N184" t="s">
        <v>1589</v>
      </c>
    </row>
    <row r="185" spans="1:14" x14ac:dyDescent="0.25">
      <c r="A185" t="s">
        <v>283</v>
      </c>
      <c r="B185" t="str">
        <f t="shared" si="4"/>
        <v>p__Bacillota_A</v>
      </c>
      <c r="C185" s="1">
        <v>24</v>
      </c>
      <c r="D185" s="3">
        <v>2158426</v>
      </c>
      <c r="E185" s="3">
        <f t="shared" si="5"/>
        <v>2.158426</v>
      </c>
      <c r="F185" s="1">
        <v>8124</v>
      </c>
      <c r="G185" s="2">
        <v>89934.399999999994</v>
      </c>
      <c r="H185" s="1">
        <v>346588</v>
      </c>
      <c r="M185" t="s">
        <v>283</v>
      </c>
      <c r="N185" t="s">
        <v>1589</v>
      </c>
    </row>
    <row r="186" spans="1:14" x14ac:dyDescent="0.25">
      <c r="A186" t="s">
        <v>284</v>
      </c>
      <c r="B186" t="str">
        <f t="shared" si="4"/>
        <v>p__Bacillota_A</v>
      </c>
      <c r="C186" s="1">
        <v>26</v>
      </c>
      <c r="D186" s="3">
        <v>2432129</v>
      </c>
      <c r="E186" s="3">
        <f t="shared" si="5"/>
        <v>2.4321290000000002</v>
      </c>
      <c r="F186" s="1">
        <v>10218</v>
      </c>
      <c r="G186" s="2">
        <v>93543.4</v>
      </c>
      <c r="H186" s="1">
        <v>589146</v>
      </c>
      <c r="M186" t="s">
        <v>284</v>
      </c>
      <c r="N186" t="s">
        <v>1589</v>
      </c>
    </row>
    <row r="187" spans="1:14" x14ac:dyDescent="0.25">
      <c r="A187" t="s">
        <v>285</v>
      </c>
      <c r="B187" t="str">
        <f t="shared" si="4"/>
        <v>p__Bacillota_A</v>
      </c>
      <c r="C187" s="1">
        <v>13</v>
      </c>
      <c r="D187" s="3">
        <v>1064706</v>
      </c>
      <c r="E187" s="3">
        <f t="shared" si="5"/>
        <v>1.0647059999999999</v>
      </c>
      <c r="F187" s="1">
        <v>19424</v>
      </c>
      <c r="G187" s="2">
        <v>81900.5</v>
      </c>
      <c r="H187" s="1">
        <v>305035</v>
      </c>
      <c r="M187" t="s">
        <v>285</v>
      </c>
      <c r="N187" t="s">
        <v>1589</v>
      </c>
    </row>
    <row r="188" spans="1:14" x14ac:dyDescent="0.25">
      <c r="A188" t="s">
        <v>286</v>
      </c>
      <c r="B188" t="str">
        <f t="shared" si="4"/>
        <v>p__Bacillota_A</v>
      </c>
      <c r="C188" s="1">
        <v>26</v>
      </c>
      <c r="D188" s="3">
        <v>764432</v>
      </c>
      <c r="E188" s="3">
        <f t="shared" si="5"/>
        <v>0.764432</v>
      </c>
      <c r="F188" s="1">
        <v>5922</v>
      </c>
      <c r="G188" s="2">
        <v>29401.200000000001</v>
      </c>
      <c r="H188" s="1">
        <v>110816</v>
      </c>
      <c r="M188" t="s">
        <v>286</v>
      </c>
      <c r="N188" t="s">
        <v>1589</v>
      </c>
    </row>
    <row r="189" spans="1:14" x14ac:dyDescent="0.25">
      <c r="A189" t="s">
        <v>287</v>
      </c>
      <c r="B189" t="str">
        <f t="shared" si="4"/>
        <v>p__Bacillota_A</v>
      </c>
      <c r="C189" s="1">
        <v>18</v>
      </c>
      <c r="D189" s="3">
        <v>731773</v>
      </c>
      <c r="E189" s="3">
        <f t="shared" si="5"/>
        <v>0.73177300000000001</v>
      </c>
      <c r="F189" s="1">
        <v>7131</v>
      </c>
      <c r="G189" s="2">
        <v>40654.1</v>
      </c>
      <c r="H189" s="1">
        <v>124467</v>
      </c>
      <c r="M189" t="s">
        <v>287</v>
      </c>
      <c r="N189" t="s">
        <v>1589</v>
      </c>
    </row>
    <row r="190" spans="1:14" x14ac:dyDescent="0.25">
      <c r="A190" t="s">
        <v>288</v>
      </c>
      <c r="B190" t="str">
        <f t="shared" si="4"/>
        <v>p__Bacillota_A</v>
      </c>
      <c r="C190" s="1">
        <v>159</v>
      </c>
      <c r="D190" s="3">
        <v>681316</v>
      </c>
      <c r="E190" s="3">
        <f t="shared" si="5"/>
        <v>0.68131600000000003</v>
      </c>
      <c r="F190" s="1">
        <v>2025</v>
      </c>
      <c r="G190" s="1">
        <v>4285</v>
      </c>
      <c r="H190" s="1">
        <v>51280</v>
      </c>
      <c r="M190" t="s">
        <v>288</v>
      </c>
      <c r="N190" t="s">
        <v>1589</v>
      </c>
    </row>
    <row r="191" spans="1:14" x14ac:dyDescent="0.25">
      <c r="A191" t="s">
        <v>289</v>
      </c>
      <c r="B191" t="str">
        <f t="shared" si="4"/>
        <v>p__Bacillota_A</v>
      </c>
      <c r="C191" s="1">
        <v>44</v>
      </c>
      <c r="D191" s="3">
        <v>1050852</v>
      </c>
      <c r="E191" s="3">
        <f t="shared" si="5"/>
        <v>1.0508519999999999</v>
      </c>
      <c r="F191" s="1">
        <v>2292</v>
      </c>
      <c r="G191" s="1">
        <v>23883</v>
      </c>
      <c r="H191" s="1">
        <v>123370</v>
      </c>
      <c r="M191" t="s">
        <v>289</v>
      </c>
      <c r="N191" t="s">
        <v>1589</v>
      </c>
    </row>
    <row r="192" spans="1:14" x14ac:dyDescent="0.25">
      <c r="A192" t="s">
        <v>290</v>
      </c>
      <c r="B192" t="str">
        <f t="shared" si="4"/>
        <v>p__Bacillota_A</v>
      </c>
      <c r="C192" s="1">
        <v>63</v>
      </c>
      <c r="D192" s="3">
        <v>1558672</v>
      </c>
      <c r="E192" s="3">
        <f t="shared" si="5"/>
        <v>1.5586720000000001</v>
      </c>
      <c r="F192" s="1">
        <v>2099</v>
      </c>
      <c r="G192" s="2">
        <v>24740.799999999999</v>
      </c>
      <c r="H192" s="1">
        <v>130991</v>
      </c>
      <c r="M192" t="s">
        <v>290</v>
      </c>
      <c r="N192" t="s">
        <v>1589</v>
      </c>
    </row>
    <row r="193" spans="1:14" x14ac:dyDescent="0.25">
      <c r="A193" t="s">
        <v>291</v>
      </c>
      <c r="B193" t="str">
        <f t="shared" si="4"/>
        <v>p__Bacillota_A</v>
      </c>
      <c r="C193" s="1">
        <v>20</v>
      </c>
      <c r="D193" s="3">
        <v>1756237</v>
      </c>
      <c r="E193" s="3">
        <f t="shared" si="5"/>
        <v>1.756237</v>
      </c>
      <c r="F193" s="1">
        <v>2710</v>
      </c>
      <c r="G193" s="2">
        <v>87811.9</v>
      </c>
      <c r="H193" s="1">
        <v>406953</v>
      </c>
      <c r="M193" t="s">
        <v>291</v>
      </c>
      <c r="N193" t="s">
        <v>1589</v>
      </c>
    </row>
    <row r="194" spans="1:14" x14ac:dyDescent="0.25">
      <c r="A194" t="s">
        <v>292</v>
      </c>
      <c r="B194" t="str">
        <f t="shared" ref="B194:B257" si="6">VLOOKUP(A194,M:N,2,FALSE)</f>
        <v>p__Bacillota_A</v>
      </c>
      <c r="C194" s="1">
        <v>376</v>
      </c>
      <c r="D194" s="3">
        <v>1678350</v>
      </c>
      <c r="E194" s="3">
        <f t="shared" ref="E194:E257" si="7">D194/1000000</f>
        <v>1.67835</v>
      </c>
      <c r="F194" s="2">
        <v>2009</v>
      </c>
      <c r="G194" s="1">
        <v>4463.7</v>
      </c>
      <c r="H194" s="1">
        <v>61732</v>
      </c>
      <c r="M194" t="s">
        <v>292</v>
      </c>
      <c r="N194" t="s">
        <v>1589</v>
      </c>
    </row>
    <row r="195" spans="1:14" x14ac:dyDescent="0.25">
      <c r="A195" t="s">
        <v>293</v>
      </c>
      <c r="B195" t="str">
        <f t="shared" si="6"/>
        <v>p__Bacillota_A</v>
      </c>
      <c r="C195" s="1">
        <v>151</v>
      </c>
      <c r="D195" s="3">
        <v>1532663</v>
      </c>
      <c r="E195" s="3">
        <f t="shared" si="7"/>
        <v>1.5326630000000001</v>
      </c>
      <c r="F195" s="2">
        <v>2007</v>
      </c>
      <c r="G195" s="1">
        <v>10150.1</v>
      </c>
      <c r="H195" s="1">
        <v>85668</v>
      </c>
      <c r="M195" t="s">
        <v>293</v>
      </c>
      <c r="N195" t="s">
        <v>1589</v>
      </c>
    </row>
    <row r="196" spans="1:14" x14ac:dyDescent="0.25">
      <c r="A196" t="s">
        <v>294</v>
      </c>
      <c r="B196" t="str">
        <f t="shared" si="6"/>
        <v>p__Bacillota_A</v>
      </c>
      <c r="C196" s="1">
        <v>36</v>
      </c>
      <c r="D196" s="3">
        <v>2481938</v>
      </c>
      <c r="E196" s="3">
        <f t="shared" si="7"/>
        <v>2.481938</v>
      </c>
      <c r="F196" s="1">
        <v>3087</v>
      </c>
      <c r="G196" s="2">
        <v>68942.7</v>
      </c>
      <c r="H196" s="1">
        <v>263764</v>
      </c>
      <c r="M196" t="s">
        <v>294</v>
      </c>
      <c r="N196" t="s">
        <v>1589</v>
      </c>
    </row>
    <row r="197" spans="1:14" x14ac:dyDescent="0.25">
      <c r="A197" t="s">
        <v>295</v>
      </c>
      <c r="B197" t="str">
        <f t="shared" si="6"/>
        <v>p__Bacillota_A</v>
      </c>
      <c r="C197" s="1">
        <v>27</v>
      </c>
      <c r="D197" s="3">
        <v>1939543</v>
      </c>
      <c r="E197" s="3">
        <f t="shared" si="7"/>
        <v>1.939543</v>
      </c>
      <c r="F197" s="1">
        <v>2584</v>
      </c>
      <c r="G197" s="2">
        <v>71834.899999999994</v>
      </c>
      <c r="H197" s="1">
        <v>316822</v>
      </c>
      <c r="M197" t="s">
        <v>295</v>
      </c>
      <c r="N197" t="s">
        <v>1589</v>
      </c>
    </row>
    <row r="198" spans="1:14" x14ac:dyDescent="0.25">
      <c r="A198" t="s">
        <v>296</v>
      </c>
      <c r="B198" t="str">
        <f t="shared" si="6"/>
        <v>p__Bacillota_A</v>
      </c>
      <c r="C198" s="1">
        <v>53</v>
      </c>
      <c r="D198" s="3">
        <v>2072532</v>
      </c>
      <c r="E198" s="3">
        <f t="shared" si="7"/>
        <v>2.0725319999999998</v>
      </c>
      <c r="F198" s="1">
        <v>2941</v>
      </c>
      <c r="G198" s="2">
        <v>39104.400000000001</v>
      </c>
      <c r="H198" s="1">
        <v>169309</v>
      </c>
      <c r="M198" t="s">
        <v>296</v>
      </c>
      <c r="N198" t="s">
        <v>1589</v>
      </c>
    </row>
    <row r="199" spans="1:14" x14ac:dyDescent="0.25">
      <c r="A199" t="s">
        <v>297</v>
      </c>
      <c r="B199" t="str">
        <f t="shared" si="6"/>
        <v>p__Bacillota_A</v>
      </c>
      <c r="C199" s="1">
        <v>157</v>
      </c>
      <c r="D199" s="3">
        <v>2608057</v>
      </c>
      <c r="E199" s="3">
        <f t="shared" si="7"/>
        <v>2.6080570000000001</v>
      </c>
      <c r="F199" s="2">
        <v>2026</v>
      </c>
      <c r="G199" s="1">
        <v>16611.8</v>
      </c>
      <c r="H199" s="1">
        <v>144601</v>
      </c>
      <c r="M199" t="s">
        <v>297</v>
      </c>
      <c r="N199" t="s">
        <v>1589</v>
      </c>
    </row>
    <row r="200" spans="1:14" x14ac:dyDescent="0.25">
      <c r="A200" t="s">
        <v>298</v>
      </c>
      <c r="B200" t="str">
        <f t="shared" si="6"/>
        <v>p__Bacillota_A</v>
      </c>
      <c r="C200" s="1">
        <v>29</v>
      </c>
      <c r="D200" s="3">
        <v>5015414</v>
      </c>
      <c r="E200" s="3">
        <f t="shared" si="7"/>
        <v>5.0154139999999998</v>
      </c>
      <c r="F200" s="1">
        <v>14725</v>
      </c>
      <c r="G200" s="2">
        <v>172945.3</v>
      </c>
      <c r="H200" s="1">
        <v>687073</v>
      </c>
      <c r="M200" t="s">
        <v>298</v>
      </c>
      <c r="N200" t="s">
        <v>1589</v>
      </c>
    </row>
    <row r="201" spans="1:14" x14ac:dyDescent="0.25">
      <c r="A201" t="s">
        <v>299</v>
      </c>
      <c r="B201" t="str">
        <f t="shared" si="6"/>
        <v>p__Bacillota_A</v>
      </c>
      <c r="C201" s="1">
        <v>1</v>
      </c>
      <c r="D201" s="3">
        <v>3577806</v>
      </c>
      <c r="E201" s="3">
        <f t="shared" si="7"/>
        <v>3.5778059999999998</v>
      </c>
      <c r="F201" s="1">
        <v>3577806</v>
      </c>
      <c r="G201" s="1">
        <v>3577806</v>
      </c>
      <c r="H201" s="1">
        <v>3577806</v>
      </c>
      <c r="M201" t="s">
        <v>299</v>
      </c>
      <c r="N201" t="s">
        <v>1589</v>
      </c>
    </row>
    <row r="202" spans="1:14" x14ac:dyDescent="0.25">
      <c r="A202" t="s">
        <v>300</v>
      </c>
      <c r="B202" t="str">
        <f t="shared" si="6"/>
        <v>p__Bacillota_A</v>
      </c>
      <c r="C202" s="1">
        <v>35</v>
      </c>
      <c r="D202" s="3">
        <v>1865867</v>
      </c>
      <c r="E202" s="3">
        <f t="shared" si="7"/>
        <v>1.8658669999999999</v>
      </c>
      <c r="F202" s="1">
        <v>4870</v>
      </c>
      <c r="G202" s="2">
        <v>53310.5</v>
      </c>
      <c r="H202" s="1">
        <v>147500</v>
      </c>
      <c r="M202" t="s">
        <v>300</v>
      </c>
      <c r="N202" t="s">
        <v>1589</v>
      </c>
    </row>
    <row r="203" spans="1:14" x14ac:dyDescent="0.25">
      <c r="A203" t="s">
        <v>301</v>
      </c>
      <c r="B203" t="str">
        <f t="shared" si="6"/>
        <v>p__Bacillota_A</v>
      </c>
      <c r="C203" s="1">
        <v>30</v>
      </c>
      <c r="D203" s="3">
        <v>2505963</v>
      </c>
      <c r="E203" s="3">
        <f t="shared" si="7"/>
        <v>2.5059629999999999</v>
      </c>
      <c r="F203" s="1">
        <v>6440</v>
      </c>
      <c r="G203" s="2">
        <v>83532.100000000006</v>
      </c>
      <c r="H203" s="1">
        <v>344702</v>
      </c>
      <c r="M203" t="s">
        <v>301</v>
      </c>
      <c r="N203" t="s">
        <v>1589</v>
      </c>
    </row>
    <row r="204" spans="1:14" x14ac:dyDescent="0.25">
      <c r="A204" t="s">
        <v>302</v>
      </c>
      <c r="B204" t="str">
        <f t="shared" si="6"/>
        <v>p__Bacillota_A</v>
      </c>
      <c r="C204" s="1">
        <v>314</v>
      </c>
      <c r="D204" s="3">
        <v>3474509</v>
      </c>
      <c r="E204" s="3">
        <f t="shared" si="7"/>
        <v>3.4745089999999998</v>
      </c>
      <c r="F204" s="2">
        <v>2026</v>
      </c>
      <c r="G204" s="1">
        <v>11065.3</v>
      </c>
      <c r="H204" s="1">
        <v>108370</v>
      </c>
      <c r="M204" t="s">
        <v>302</v>
      </c>
      <c r="N204" t="s">
        <v>1589</v>
      </c>
    </row>
    <row r="205" spans="1:14" x14ac:dyDescent="0.25">
      <c r="A205" t="s">
        <v>303</v>
      </c>
      <c r="B205" t="str">
        <f t="shared" si="6"/>
        <v>p__Bacillota_A</v>
      </c>
      <c r="C205" s="1">
        <v>24</v>
      </c>
      <c r="D205" s="3">
        <v>4442223</v>
      </c>
      <c r="E205" s="3">
        <f t="shared" si="7"/>
        <v>4.4422230000000003</v>
      </c>
      <c r="F205" s="1">
        <v>3317</v>
      </c>
      <c r="G205" s="2">
        <v>185092.6</v>
      </c>
      <c r="H205" s="1">
        <v>962560</v>
      </c>
      <c r="M205" t="s">
        <v>303</v>
      </c>
      <c r="N205" t="s">
        <v>1589</v>
      </c>
    </row>
    <row r="206" spans="1:14" x14ac:dyDescent="0.25">
      <c r="A206" t="s">
        <v>304</v>
      </c>
      <c r="B206" t="str">
        <f t="shared" si="6"/>
        <v>p__Bacillota_A</v>
      </c>
      <c r="C206" s="1">
        <v>15</v>
      </c>
      <c r="D206" s="3">
        <v>3484543</v>
      </c>
      <c r="E206" s="3">
        <f t="shared" si="7"/>
        <v>3.4845429999999999</v>
      </c>
      <c r="F206" s="1">
        <v>4533</v>
      </c>
      <c r="G206" s="2">
        <v>232302.9</v>
      </c>
      <c r="H206" s="1">
        <v>1683048</v>
      </c>
      <c r="M206" t="s">
        <v>304</v>
      </c>
      <c r="N206" t="s">
        <v>1589</v>
      </c>
    </row>
    <row r="207" spans="1:14" x14ac:dyDescent="0.25">
      <c r="A207" t="s">
        <v>305</v>
      </c>
      <c r="B207" t="str">
        <f t="shared" si="6"/>
        <v>p__Bacillota_A</v>
      </c>
      <c r="C207" s="1">
        <v>238</v>
      </c>
      <c r="D207" s="3">
        <v>1881039</v>
      </c>
      <c r="E207" s="3">
        <f t="shared" si="7"/>
        <v>1.8810389999999999</v>
      </c>
      <c r="F207" s="2">
        <v>2018</v>
      </c>
      <c r="G207" s="1">
        <v>7903.5</v>
      </c>
      <c r="H207" s="1">
        <v>87409</v>
      </c>
      <c r="M207" t="s">
        <v>305</v>
      </c>
      <c r="N207" t="s">
        <v>1589</v>
      </c>
    </row>
    <row r="208" spans="1:14" x14ac:dyDescent="0.25">
      <c r="A208" t="s">
        <v>306</v>
      </c>
      <c r="B208" t="str">
        <f t="shared" si="6"/>
        <v>p__Bacillota_A</v>
      </c>
      <c r="C208" s="1">
        <v>18</v>
      </c>
      <c r="D208" s="3">
        <v>3800156</v>
      </c>
      <c r="E208" s="3">
        <f t="shared" si="7"/>
        <v>3.8001559999999999</v>
      </c>
      <c r="F208" s="1">
        <v>15643</v>
      </c>
      <c r="G208" s="2">
        <v>211119.8</v>
      </c>
      <c r="H208" s="1">
        <v>586781</v>
      </c>
      <c r="M208" t="s">
        <v>306</v>
      </c>
      <c r="N208" t="s">
        <v>1589</v>
      </c>
    </row>
    <row r="209" spans="1:14" x14ac:dyDescent="0.25">
      <c r="A209" t="s">
        <v>307</v>
      </c>
      <c r="B209" t="str">
        <f t="shared" si="6"/>
        <v>p__Bacillota_A</v>
      </c>
      <c r="C209" s="1">
        <v>9</v>
      </c>
      <c r="D209" s="3">
        <v>3647778</v>
      </c>
      <c r="E209" s="3">
        <f t="shared" si="7"/>
        <v>3.6477780000000002</v>
      </c>
      <c r="F209" s="1">
        <v>2339</v>
      </c>
      <c r="G209" s="2">
        <v>405308.7</v>
      </c>
      <c r="H209" s="1">
        <v>3445456</v>
      </c>
      <c r="M209" t="s">
        <v>307</v>
      </c>
      <c r="N209" t="s">
        <v>1589</v>
      </c>
    </row>
    <row r="210" spans="1:14" x14ac:dyDescent="0.25">
      <c r="A210" t="s">
        <v>308</v>
      </c>
      <c r="B210" t="str">
        <f t="shared" si="6"/>
        <v>p__Bacillota_A</v>
      </c>
      <c r="C210" s="1">
        <v>127</v>
      </c>
      <c r="D210" s="3">
        <v>3480176</v>
      </c>
      <c r="E210" s="3">
        <f t="shared" si="7"/>
        <v>3.4801760000000002</v>
      </c>
      <c r="F210" s="1">
        <v>2033</v>
      </c>
      <c r="G210" s="1">
        <v>27403</v>
      </c>
      <c r="H210" s="1">
        <v>238018</v>
      </c>
      <c r="M210" t="s">
        <v>308</v>
      </c>
      <c r="N210" t="s">
        <v>1589</v>
      </c>
    </row>
    <row r="211" spans="1:14" x14ac:dyDescent="0.25">
      <c r="A211" t="s">
        <v>309</v>
      </c>
      <c r="B211" t="str">
        <f t="shared" si="6"/>
        <v>p__Bacillota_A</v>
      </c>
      <c r="C211" s="1">
        <v>17</v>
      </c>
      <c r="D211" s="3">
        <v>2026029</v>
      </c>
      <c r="E211" s="3">
        <f t="shared" si="7"/>
        <v>2.0260289999999999</v>
      </c>
      <c r="F211" s="1">
        <v>6764</v>
      </c>
      <c r="G211" s="2">
        <v>119178.2</v>
      </c>
      <c r="H211" s="1">
        <v>379597</v>
      </c>
      <c r="M211" t="s">
        <v>309</v>
      </c>
      <c r="N211" t="s">
        <v>1589</v>
      </c>
    </row>
    <row r="212" spans="1:14" x14ac:dyDescent="0.25">
      <c r="A212" t="s">
        <v>310</v>
      </c>
      <c r="B212" t="str">
        <f t="shared" si="6"/>
        <v>p__Bacillota_A</v>
      </c>
      <c r="C212" s="1">
        <v>347</v>
      </c>
      <c r="D212" s="3">
        <v>2370578</v>
      </c>
      <c r="E212" s="3">
        <f t="shared" si="7"/>
        <v>2.3705780000000001</v>
      </c>
      <c r="F212" s="2">
        <v>2004</v>
      </c>
      <c r="G212" s="1">
        <v>6831.6</v>
      </c>
      <c r="H212" s="1">
        <v>110539</v>
      </c>
      <c r="M212" t="s">
        <v>310</v>
      </c>
      <c r="N212" t="s">
        <v>1589</v>
      </c>
    </row>
    <row r="213" spans="1:14" x14ac:dyDescent="0.25">
      <c r="A213" t="s">
        <v>311</v>
      </c>
      <c r="B213" t="str">
        <f t="shared" si="6"/>
        <v>p__Bacillota_A</v>
      </c>
      <c r="C213" s="1">
        <v>233</v>
      </c>
      <c r="D213" s="3">
        <v>2799723</v>
      </c>
      <c r="E213" s="3">
        <f t="shared" si="7"/>
        <v>2.7997230000000002</v>
      </c>
      <c r="F213" s="1">
        <v>2016</v>
      </c>
      <c r="G213" s="1">
        <v>12016</v>
      </c>
      <c r="H213" s="1">
        <v>145348</v>
      </c>
      <c r="M213" t="s">
        <v>311</v>
      </c>
      <c r="N213" t="s">
        <v>1589</v>
      </c>
    </row>
    <row r="214" spans="1:14" x14ac:dyDescent="0.25">
      <c r="A214" t="s">
        <v>312</v>
      </c>
      <c r="B214" t="str">
        <f t="shared" si="6"/>
        <v>p__Bacillota_A</v>
      </c>
      <c r="C214" s="1">
        <v>673</v>
      </c>
      <c r="D214" s="3">
        <v>4109768</v>
      </c>
      <c r="E214" s="3">
        <f t="shared" si="7"/>
        <v>4.1097679999999999</v>
      </c>
      <c r="F214" s="2">
        <v>2000</v>
      </c>
      <c r="G214" s="1">
        <v>6106.6</v>
      </c>
      <c r="H214" s="1">
        <v>52753</v>
      </c>
      <c r="M214" t="s">
        <v>312</v>
      </c>
      <c r="N214" t="s">
        <v>1589</v>
      </c>
    </row>
    <row r="215" spans="1:14" x14ac:dyDescent="0.25">
      <c r="A215" t="s">
        <v>313</v>
      </c>
      <c r="B215" t="str">
        <f t="shared" si="6"/>
        <v>p__Bacillota_A</v>
      </c>
      <c r="C215" s="1">
        <v>320</v>
      </c>
      <c r="D215" s="3">
        <v>1954264</v>
      </c>
      <c r="E215" s="3">
        <f t="shared" si="7"/>
        <v>1.954264</v>
      </c>
      <c r="F215" s="2">
        <v>2010</v>
      </c>
      <c r="G215" s="1">
        <v>6107.1</v>
      </c>
      <c r="H215" s="1">
        <v>31073</v>
      </c>
      <c r="M215" t="s">
        <v>313</v>
      </c>
      <c r="N215" t="s">
        <v>1589</v>
      </c>
    </row>
    <row r="216" spans="1:14" x14ac:dyDescent="0.25">
      <c r="A216" t="s">
        <v>314</v>
      </c>
      <c r="B216" t="str">
        <f t="shared" si="6"/>
        <v>p__Bacillota_A</v>
      </c>
      <c r="C216" s="1">
        <v>306</v>
      </c>
      <c r="D216" s="3">
        <v>3157653</v>
      </c>
      <c r="E216" s="3">
        <f t="shared" si="7"/>
        <v>3.1576529999999998</v>
      </c>
      <c r="F216" s="2">
        <v>2002</v>
      </c>
      <c r="G216" s="1">
        <v>10319.1</v>
      </c>
      <c r="H216" s="1">
        <v>143360</v>
      </c>
      <c r="M216" t="s">
        <v>314</v>
      </c>
      <c r="N216" t="s">
        <v>1589</v>
      </c>
    </row>
    <row r="217" spans="1:14" x14ac:dyDescent="0.25">
      <c r="A217" t="s">
        <v>315</v>
      </c>
      <c r="B217" t="str">
        <f t="shared" si="6"/>
        <v>p__Bacillota_A</v>
      </c>
      <c r="C217" s="1">
        <v>206</v>
      </c>
      <c r="D217" s="3">
        <v>2792170</v>
      </c>
      <c r="E217" s="3">
        <f t="shared" si="7"/>
        <v>2.79217</v>
      </c>
      <c r="F217" s="2">
        <v>2057</v>
      </c>
      <c r="G217" s="1">
        <v>13554.2</v>
      </c>
      <c r="H217" s="1">
        <v>91839</v>
      </c>
      <c r="M217" t="s">
        <v>315</v>
      </c>
      <c r="N217" t="s">
        <v>1589</v>
      </c>
    </row>
    <row r="218" spans="1:14" x14ac:dyDescent="0.25">
      <c r="A218" t="s">
        <v>316</v>
      </c>
      <c r="B218" t="str">
        <f t="shared" si="6"/>
        <v>p__Bacillota_A</v>
      </c>
      <c r="C218" s="1">
        <v>79</v>
      </c>
      <c r="D218" s="3">
        <v>2345173</v>
      </c>
      <c r="E218" s="3">
        <f t="shared" si="7"/>
        <v>2.345173</v>
      </c>
      <c r="F218" s="1">
        <v>2127</v>
      </c>
      <c r="G218" s="2">
        <v>29685.7</v>
      </c>
      <c r="H218" s="1">
        <v>181430</v>
      </c>
      <c r="M218" t="s">
        <v>316</v>
      </c>
      <c r="N218" t="s">
        <v>1589</v>
      </c>
    </row>
    <row r="219" spans="1:14" x14ac:dyDescent="0.25">
      <c r="A219" t="s">
        <v>317</v>
      </c>
      <c r="B219" t="str">
        <f t="shared" si="6"/>
        <v>p__Bacillota_A</v>
      </c>
      <c r="C219" s="1">
        <v>31</v>
      </c>
      <c r="D219" s="3">
        <v>3339510</v>
      </c>
      <c r="E219" s="3">
        <f t="shared" si="7"/>
        <v>3.3395100000000002</v>
      </c>
      <c r="F219" s="1">
        <v>2309</v>
      </c>
      <c r="G219" s="2">
        <v>107726.1</v>
      </c>
      <c r="H219" s="1">
        <v>539713</v>
      </c>
      <c r="M219" t="s">
        <v>317</v>
      </c>
      <c r="N219" t="s">
        <v>1589</v>
      </c>
    </row>
    <row r="220" spans="1:14" x14ac:dyDescent="0.25">
      <c r="A220" t="s">
        <v>318</v>
      </c>
      <c r="B220" t="str">
        <f t="shared" si="6"/>
        <v>p__Bacillota_A</v>
      </c>
      <c r="C220" s="1">
        <v>7</v>
      </c>
      <c r="D220" s="3">
        <v>3022313</v>
      </c>
      <c r="E220" s="3">
        <f t="shared" si="7"/>
        <v>3.022313</v>
      </c>
      <c r="F220" s="1">
        <v>2575</v>
      </c>
      <c r="G220" s="1">
        <v>431759</v>
      </c>
      <c r="H220" s="1">
        <v>786092</v>
      </c>
      <c r="M220" t="s">
        <v>318</v>
      </c>
      <c r="N220" t="s">
        <v>1589</v>
      </c>
    </row>
    <row r="221" spans="1:14" x14ac:dyDescent="0.25">
      <c r="A221" t="s">
        <v>319</v>
      </c>
      <c r="B221" t="str">
        <f t="shared" si="6"/>
        <v>p__Bacillota_A</v>
      </c>
      <c r="C221" s="1">
        <v>9</v>
      </c>
      <c r="D221" s="3">
        <v>3268787</v>
      </c>
      <c r="E221" s="3">
        <f t="shared" si="7"/>
        <v>3.2687870000000001</v>
      </c>
      <c r="F221" s="1">
        <v>13486</v>
      </c>
      <c r="G221" s="2">
        <v>363198.6</v>
      </c>
      <c r="H221" s="1">
        <v>1033297</v>
      </c>
      <c r="M221" t="s">
        <v>319</v>
      </c>
      <c r="N221" t="s">
        <v>1589</v>
      </c>
    </row>
    <row r="222" spans="1:14" x14ac:dyDescent="0.25">
      <c r="A222" t="s">
        <v>320</v>
      </c>
      <c r="B222" t="str">
        <f t="shared" si="6"/>
        <v>p__Bacillota_A</v>
      </c>
      <c r="C222" s="1">
        <v>261</v>
      </c>
      <c r="D222" s="3">
        <v>2332407</v>
      </c>
      <c r="E222" s="3">
        <f t="shared" si="7"/>
        <v>2.3324069999999999</v>
      </c>
      <c r="F222" s="2">
        <v>2004</v>
      </c>
      <c r="G222" s="1">
        <v>8936.4</v>
      </c>
      <c r="H222" s="1">
        <v>94895</v>
      </c>
      <c r="M222" t="s">
        <v>320</v>
      </c>
      <c r="N222" t="s">
        <v>1589</v>
      </c>
    </row>
    <row r="223" spans="1:14" x14ac:dyDescent="0.25">
      <c r="A223" t="s">
        <v>321</v>
      </c>
      <c r="B223" t="str">
        <f t="shared" si="6"/>
        <v>p__Bacillota_A</v>
      </c>
      <c r="C223" s="1">
        <v>60</v>
      </c>
      <c r="D223" s="3">
        <v>2714460</v>
      </c>
      <c r="E223" s="3">
        <f t="shared" si="7"/>
        <v>2.7144599999999999</v>
      </c>
      <c r="F223" s="1">
        <v>2521</v>
      </c>
      <c r="G223" s="1">
        <v>45241</v>
      </c>
      <c r="H223" s="1">
        <v>248689</v>
      </c>
      <c r="M223" t="s">
        <v>321</v>
      </c>
      <c r="N223" t="s">
        <v>1589</v>
      </c>
    </row>
    <row r="224" spans="1:14" x14ac:dyDescent="0.25">
      <c r="A224" t="s">
        <v>322</v>
      </c>
      <c r="B224" t="str">
        <f t="shared" si="6"/>
        <v>p__Bacillota_A</v>
      </c>
      <c r="C224" s="1">
        <v>274</v>
      </c>
      <c r="D224" s="3">
        <v>2046821</v>
      </c>
      <c r="E224" s="3">
        <f t="shared" si="7"/>
        <v>2.046821</v>
      </c>
      <c r="F224" s="2">
        <v>2007</v>
      </c>
      <c r="G224" s="1">
        <v>7470.1</v>
      </c>
      <c r="H224" s="1">
        <v>58483</v>
      </c>
      <c r="M224" t="s">
        <v>322</v>
      </c>
      <c r="N224" t="s">
        <v>1589</v>
      </c>
    </row>
    <row r="225" spans="1:14" x14ac:dyDescent="0.25">
      <c r="A225" t="s">
        <v>323</v>
      </c>
      <c r="B225" t="str">
        <f t="shared" si="6"/>
        <v>p__Bacillota_A</v>
      </c>
      <c r="C225" s="1">
        <v>31</v>
      </c>
      <c r="D225" s="3">
        <v>2901792</v>
      </c>
      <c r="E225" s="3">
        <f t="shared" si="7"/>
        <v>2.9017919999999999</v>
      </c>
      <c r="F225" s="1">
        <v>2423</v>
      </c>
      <c r="G225" s="2">
        <v>93606.2</v>
      </c>
      <c r="H225" s="1">
        <v>369605</v>
      </c>
      <c r="M225" t="s">
        <v>323</v>
      </c>
      <c r="N225" t="s">
        <v>1589</v>
      </c>
    </row>
    <row r="226" spans="1:14" x14ac:dyDescent="0.25">
      <c r="A226" t="s">
        <v>324</v>
      </c>
      <c r="B226" t="str">
        <f t="shared" si="6"/>
        <v>p__Bacillota_A</v>
      </c>
      <c r="C226" s="1">
        <v>147</v>
      </c>
      <c r="D226" s="3">
        <v>1664104</v>
      </c>
      <c r="E226" s="3">
        <f t="shared" si="7"/>
        <v>1.664104</v>
      </c>
      <c r="F226" s="2">
        <v>2527</v>
      </c>
      <c r="G226" s="1">
        <v>11320.4</v>
      </c>
      <c r="H226" s="1">
        <v>66993</v>
      </c>
      <c r="M226" t="s">
        <v>324</v>
      </c>
      <c r="N226" t="s">
        <v>1589</v>
      </c>
    </row>
    <row r="227" spans="1:14" x14ac:dyDescent="0.25">
      <c r="A227" t="s">
        <v>325</v>
      </c>
      <c r="B227" t="str">
        <f t="shared" si="6"/>
        <v>p__Bacillota_A</v>
      </c>
      <c r="C227" s="1">
        <v>293</v>
      </c>
      <c r="D227" s="3">
        <v>1540357</v>
      </c>
      <c r="E227" s="3">
        <f t="shared" si="7"/>
        <v>1.540357</v>
      </c>
      <c r="F227" s="2">
        <v>2003</v>
      </c>
      <c r="G227" s="1">
        <v>5257.2</v>
      </c>
      <c r="H227" s="1">
        <v>25337</v>
      </c>
      <c r="M227" t="s">
        <v>325</v>
      </c>
      <c r="N227" t="s">
        <v>1589</v>
      </c>
    </row>
    <row r="228" spans="1:14" x14ac:dyDescent="0.25">
      <c r="A228" t="s">
        <v>326</v>
      </c>
      <c r="B228" t="str">
        <f t="shared" si="6"/>
        <v>p__Bacillota_A</v>
      </c>
      <c r="C228" s="1">
        <v>71</v>
      </c>
      <c r="D228" s="3">
        <v>2241071</v>
      </c>
      <c r="E228" s="3">
        <f t="shared" si="7"/>
        <v>2.2410709999999998</v>
      </c>
      <c r="F228" s="1">
        <v>2154</v>
      </c>
      <c r="G228" s="2">
        <v>31564.400000000001</v>
      </c>
      <c r="H228" s="1">
        <v>200120</v>
      </c>
      <c r="M228" t="s">
        <v>326</v>
      </c>
      <c r="N228" t="s">
        <v>1589</v>
      </c>
    </row>
    <row r="229" spans="1:14" x14ac:dyDescent="0.25">
      <c r="A229" t="s">
        <v>327</v>
      </c>
      <c r="B229" t="str">
        <f t="shared" si="6"/>
        <v>p__Bacillota_A</v>
      </c>
      <c r="C229" s="1">
        <v>34</v>
      </c>
      <c r="D229" s="3">
        <v>1047276</v>
      </c>
      <c r="E229" s="3">
        <f t="shared" si="7"/>
        <v>1.0472760000000001</v>
      </c>
      <c r="F229" s="1">
        <v>3271</v>
      </c>
      <c r="G229" s="2">
        <v>30802.2</v>
      </c>
      <c r="H229" s="1">
        <v>113227</v>
      </c>
      <c r="M229" t="s">
        <v>327</v>
      </c>
      <c r="N229" t="s">
        <v>1589</v>
      </c>
    </row>
    <row r="230" spans="1:14" x14ac:dyDescent="0.25">
      <c r="A230" t="s">
        <v>328</v>
      </c>
      <c r="B230" t="str">
        <f t="shared" si="6"/>
        <v>p__Bacillota_A</v>
      </c>
      <c r="C230" s="1">
        <v>234</v>
      </c>
      <c r="D230" s="3">
        <v>1433105</v>
      </c>
      <c r="E230" s="3">
        <f t="shared" si="7"/>
        <v>1.4331050000000001</v>
      </c>
      <c r="F230" s="2">
        <v>2008</v>
      </c>
      <c r="G230" s="1">
        <v>6124.4</v>
      </c>
      <c r="H230" s="1">
        <v>46352</v>
      </c>
      <c r="M230" t="s">
        <v>328</v>
      </c>
      <c r="N230" t="s">
        <v>1589</v>
      </c>
    </row>
    <row r="231" spans="1:14" x14ac:dyDescent="0.25">
      <c r="A231" t="s">
        <v>329</v>
      </c>
      <c r="B231" t="str">
        <f t="shared" si="6"/>
        <v>p__Bacillota_A</v>
      </c>
      <c r="C231" s="1">
        <v>244</v>
      </c>
      <c r="D231" s="3">
        <v>1331490</v>
      </c>
      <c r="E231" s="3">
        <f t="shared" si="7"/>
        <v>1.3314900000000001</v>
      </c>
      <c r="F231" s="2">
        <v>2051</v>
      </c>
      <c r="G231" s="1">
        <v>5456.9</v>
      </c>
      <c r="H231" s="1">
        <v>36511</v>
      </c>
      <c r="M231" t="s">
        <v>329</v>
      </c>
      <c r="N231" t="s">
        <v>1589</v>
      </c>
    </row>
    <row r="232" spans="1:14" x14ac:dyDescent="0.25">
      <c r="A232" t="s">
        <v>330</v>
      </c>
      <c r="B232" t="str">
        <f t="shared" si="6"/>
        <v>p__Bacillota_A</v>
      </c>
      <c r="C232" s="1">
        <v>174</v>
      </c>
      <c r="D232" s="3">
        <v>2105098</v>
      </c>
      <c r="E232" s="3">
        <f t="shared" si="7"/>
        <v>2.1050979999999999</v>
      </c>
      <c r="F232" s="2">
        <v>2018</v>
      </c>
      <c r="G232" s="1">
        <v>12098.3</v>
      </c>
      <c r="H232" s="1">
        <v>83110</v>
      </c>
      <c r="M232" t="s">
        <v>330</v>
      </c>
      <c r="N232" t="s">
        <v>1589</v>
      </c>
    </row>
    <row r="233" spans="1:14" x14ac:dyDescent="0.25">
      <c r="A233" t="s">
        <v>331</v>
      </c>
      <c r="B233" t="str">
        <f t="shared" si="6"/>
        <v>p__Bacillota_A</v>
      </c>
      <c r="C233" s="1">
        <v>43</v>
      </c>
      <c r="D233" s="3">
        <v>1815663</v>
      </c>
      <c r="E233" s="3">
        <f t="shared" si="7"/>
        <v>1.815663</v>
      </c>
      <c r="F233" s="1">
        <v>2048</v>
      </c>
      <c r="G233" s="2">
        <v>42224.7</v>
      </c>
      <c r="H233" s="1">
        <v>326071</v>
      </c>
      <c r="M233" t="s">
        <v>331</v>
      </c>
      <c r="N233" t="s">
        <v>1589</v>
      </c>
    </row>
    <row r="234" spans="1:14" x14ac:dyDescent="0.25">
      <c r="A234" t="s">
        <v>332</v>
      </c>
      <c r="B234" t="str">
        <f t="shared" si="6"/>
        <v>p__Bacillota_A</v>
      </c>
      <c r="C234" s="1">
        <v>255</v>
      </c>
      <c r="D234" s="3">
        <v>1050568</v>
      </c>
      <c r="E234" s="3">
        <f t="shared" si="7"/>
        <v>1.0505679999999999</v>
      </c>
      <c r="F234" s="2">
        <v>2000</v>
      </c>
      <c r="G234" s="1">
        <v>4119.8999999999996</v>
      </c>
      <c r="H234" s="1">
        <v>19132</v>
      </c>
      <c r="M234" t="s">
        <v>332</v>
      </c>
      <c r="N234" t="s">
        <v>1589</v>
      </c>
    </row>
    <row r="235" spans="1:14" x14ac:dyDescent="0.25">
      <c r="A235" t="s">
        <v>333</v>
      </c>
      <c r="B235" t="str">
        <f t="shared" si="6"/>
        <v>p__Bacillota_A</v>
      </c>
      <c r="C235" s="1">
        <v>453</v>
      </c>
      <c r="D235" s="3">
        <v>2217221</v>
      </c>
      <c r="E235" s="3">
        <f t="shared" si="7"/>
        <v>2.2172209999999999</v>
      </c>
      <c r="F235" s="2">
        <v>2001</v>
      </c>
      <c r="G235" s="1">
        <v>4894.5</v>
      </c>
      <c r="H235" s="1">
        <v>52512</v>
      </c>
      <c r="M235" t="s">
        <v>333</v>
      </c>
      <c r="N235" t="s">
        <v>1589</v>
      </c>
    </row>
    <row r="236" spans="1:14" x14ac:dyDescent="0.25">
      <c r="A236" t="s">
        <v>334</v>
      </c>
      <c r="B236" t="str">
        <f t="shared" si="6"/>
        <v>p__Bacillota_A</v>
      </c>
      <c r="C236" s="1">
        <v>223</v>
      </c>
      <c r="D236" s="3">
        <v>1432441</v>
      </c>
      <c r="E236" s="3">
        <f t="shared" si="7"/>
        <v>1.4324410000000001</v>
      </c>
      <c r="F236" s="2">
        <v>2000</v>
      </c>
      <c r="G236" s="1">
        <v>6423.5</v>
      </c>
      <c r="H236" s="1">
        <v>61398</v>
      </c>
      <c r="M236" t="s">
        <v>334</v>
      </c>
      <c r="N236" t="s">
        <v>1589</v>
      </c>
    </row>
    <row r="237" spans="1:14" x14ac:dyDescent="0.25">
      <c r="A237" t="s">
        <v>335</v>
      </c>
      <c r="B237" t="str">
        <f t="shared" si="6"/>
        <v>p__Bacillota_A</v>
      </c>
      <c r="C237" s="1">
        <v>183</v>
      </c>
      <c r="D237" s="3">
        <v>1944125</v>
      </c>
      <c r="E237" s="3">
        <f t="shared" si="7"/>
        <v>1.9441250000000001</v>
      </c>
      <c r="F237" s="2">
        <v>2001</v>
      </c>
      <c r="G237" s="1">
        <v>10623.6</v>
      </c>
      <c r="H237" s="1">
        <v>115259</v>
      </c>
      <c r="M237" t="s">
        <v>335</v>
      </c>
      <c r="N237" t="s">
        <v>1589</v>
      </c>
    </row>
    <row r="238" spans="1:14" x14ac:dyDescent="0.25">
      <c r="A238" t="s">
        <v>336</v>
      </c>
      <c r="B238" t="str">
        <f t="shared" si="6"/>
        <v>p__Bacillota_A</v>
      </c>
      <c r="C238" s="1">
        <v>93</v>
      </c>
      <c r="D238" s="3">
        <v>1739372</v>
      </c>
      <c r="E238" s="3">
        <f t="shared" si="7"/>
        <v>1.7393719999999999</v>
      </c>
      <c r="F238" s="1">
        <v>2038</v>
      </c>
      <c r="G238" s="2">
        <v>18702.900000000001</v>
      </c>
      <c r="H238" s="1">
        <v>142105</v>
      </c>
      <c r="M238" t="s">
        <v>336</v>
      </c>
      <c r="N238" t="s">
        <v>1589</v>
      </c>
    </row>
    <row r="239" spans="1:14" x14ac:dyDescent="0.25">
      <c r="A239" t="s">
        <v>337</v>
      </c>
      <c r="B239" t="str">
        <f t="shared" si="6"/>
        <v>p__Bacillota_A</v>
      </c>
      <c r="C239" s="1">
        <v>17</v>
      </c>
      <c r="D239" s="3">
        <v>2131407</v>
      </c>
      <c r="E239" s="3">
        <f t="shared" si="7"/>
        <v>2.1314069999999998</v>
      </c>
      <c r="F239" s="1">
        <v>6636</v>
      </c>
      <c r="G239" s="2">
        <v>125376.9</v>
      </c>
      <c r="H239" s="1">
        <v>666058</v>
      </c>
      <c r="M239" t="s">
        <v>337</v>
      </c>
      <c r="N239" t="s">
        <v>1589</v>
      </c>
    </row>
    <row r="240" spans="1:14" x14ac:dyDescent="0.25">
      <c r="A240" t="s">
        <v>338</v>
      </c>
      <c r="B240" t="str">
        <f t="shared" si="6"/>
        <v>p__Bacillota_A</v>
      </c>
      <c r="C240" s="1">
        <v>63</v>
      </c>
      <c r="D240" s="3">
        <v>2756896</v>
      </c>
      <c r="E240" s="3">
        <f t="shared" si="7"/>
        <v>2.7568959999999998</v>
      </c>
      <c r="F240" s="1">
        <v>3841</v>
      </c>
      <c r="G240" s="2">
        <v>43760.3</v>
      </c>
      <c r="H240" s="1">
        <v>213857</v>
      </c>
      <c r="M240" t="s">
        <v>338</v>
      </c>
      <c r="N240" t="s">
        <v>1589</v>
      </c>
    </row>
    <row r="241" spans="1:14" x14ac:dyDescent="0.25">
      <c r="A241" t="s">
        <v>339</v>
      </c>
      <c r="B241" t="str">
        <f t="shared" si="6"/>
        <v>p__Bacillota_A</v>
      </c>
      <c r="C241" s="1">
        <v>316</v>
      </c>
      <c r="D241" s="3">
        <v>2262646</v>
      </c>
      <c r="E241" s="3">
        <f t="shared" si="7"/>
        <v>2.2626460000000002</v>
      </c>
      <c r="F241" s="2">
        <v>2506</v>
      </c>
      <c r="G241" s="1">
        <v>7160.3</v>
      </c>
      <c r="H241" s="1">
        <v>84142</v>
      </c>
      <c r="M241" t="s">
        <v>339</v>
      </c>
      <c r="N241" t="s">
        <v>1589</v>
      </c>
    </row>
    <row r="242" spans="1:14" x14ac:dyDescent="0.25">
      <c r="A242" t="s">
        <v>340</v>
      </c>
      <c r="B242" t="str">
        <f t="shared" si="6"/>
        <v>p__Bacillota_A</v>
      </c>
      <c r="C242" s="1">
        <v>267</v>
      </c>
      <c r="D242" s="3">
        <v>1007983</v>
      </c>
      <c r="E242" s="3">
        <f t="shared" si="7"/>
        <v>1.0079830000000001</v>
      </c>
      <c r="F242" s="2">
        <v>2003</v>
      </c>
      <c r="G242" s="1">
        <v>3775.2</v>
      </c>
      <c r="H242" s="1">
        <v>19515</v>
      </c>
      <c r="M242" t="s">
        <v>340</v>
      </c>
      <c r="N242" t="s">
        <v>1589</v>
      </c>
    </row>
    <row r="243" spans="1:14" x14ac:dyDescent="0.25">
      <c r="A243" t="s">
        <v>341</v>
      </c>
      <c r="B243" t="str">
        <f t="shared" si="6"/>
        <v>p__Bacillota_A</v>
      </c>
      <c r="C243" s="1">
        <v>59</v>
      </c>
      <c r="D243" s="3">
        <v>1840313</v>
      </c>
      <c r="E243" s="3">
        <f t="shared" si="7"/>
        <v>1.8403130000000001</v>
      </c>
      <c r="F243" s="1">
        <v>2019</v>
      </c>
      <c r="G243" s="2">
        <v>31191.7</v>
      </c>
      <c r="H243" s="1">
        <v>189464</v>
      </c>
      <c r="M243" t="s">
        <v>341</v>
      </c>
      <c r="N243" t="s">
        <v>1589</v>
      </c>
    </row>
    <row r="244" spans="1:14" x14ac:dyDescent="0.25">
      <c r="A244" t="s">
        <v>342</v>
      </c>
      <c r="B244" t="str">
        <f t="shared" si="6"/>
        <v>p__Bacillota_A</v>
      </c>
      <c r="C244" s="1">
        <v>73</v>
      </c>
      <c r="D244" s="3">
        <v>1700222</v>
      </c>
      <c r="E244" s="3">
        <f t="shared" si="7"/>
        <v>1.7002219999999999</v>
      </c>
      <c r="F244" s="1">
        <v>2023</v>
      </c>
      <c r="G244" s="2">
        <v>23290.7</v>
      </c>
      <c r="H244" s="1">
        <v>198152</v>
      </c>
      <c r="M244" t="s">
        <v>342</v>
      </c>
      <c r="N244" t="s">
        <v>1589</v>
      </c>
    </row>
    <row r="245" spans="1:14" x14ac:dyDescent="0.25">
      <c r="A245" t="s">
        <v>343</v>
      </c>
      <c r="B245" t="str">
        <f t="shared" si="6"/>
        <v>p__Bacillota_A</v>
      </c>
      <c r="C245" s="1">
        <v>93</v>
      </c>
      <c r="D245" s="3">
        <v>1857039</v>
      </c>
      <c r="E245" s="3">
        <f t="shared" si="7"/>
        <v>1.8570390000000001</v>
      </c>
      <c r="F245" s="1">
        <v>2013</v>
      </c>
      <c r="G245" s="2">
        <v>19968.2</v>
      </c>
      <c r="H245" s="1">
        <v>118686</v>
      </c>
      <c r="M245" t="s">
        <v>343</v>
      </c>
      <c r="N245" t="s">
        <v>1589</v>
      </c>
    </row>
    <row r="246" spans="1:14" x14ac:dyDescent="0.25">
      <c r="A246" t="s">
        <v>344</v>
      </c>
      <c r="B246" t="str">
        <f t="shared" si="6"/>
        <v>p__Bacillota_A</v>
      </c>
      <c r="C246" s="1">
        <v>69</v>
      </c>
      <c r="D246" s="3">
        <v>2076003</v>
      </c>
      <c r="E246" s="3">
        <f t="shared" si="7"/>
        <v>2.076003</v>
      </c>
      <c r="F246" s="1">
        <v>2114</v>
      </c>
      <c r="G246" s="1">
        <v>30087</v>
      </c>
      <c r="H246" s="1">
        <v>158477</v>
      </c>
      <c r="M246" t="s">
        <v>344</v>
      </c>
      <c r="N246" t="s">
        <v>1589</v>
      </c>
    </row>
    <row r="247" spans="1:14" x14ac:dyDescent="0.25">
      <c r="A247" t="s">
        <v>345</v>
      </c>
      <c r="B247" t="str">
        <f t="shared" si="6"/>
        <v>p__Bacillota_A</v>
      </c>
      <c r="C247" s="1">
        <v>37</v>
      </c>
      <c r="D247" s="3">
        <v>1616986</v>
      </c>
      <c r="E247" s="3">
        <f t="shared" si="7"/>
        <v>1.616986</v>
      </c>
      <c r="F247" s="1">
        <v>5213</v>
      </c>
      <c r="G247" s="2">
        <v>43702.3</v>
      </c>
      <c r="H247" s="1">
        <v>151766</v>
      </c>
      <c r="M247" t="s">
        <v>345</v>
      </c>
      <c r="N247" t="s">
        <v>1589</v>
      </c>
    </row>
    <row r="248" spans="1:14" x14ac:dyDescent="0.25">
      <c r="A248" t="s">
        <v>346</v>
      </c>
      <c r="B248" t="str">
        <f t="shared" si="6"/>
        <v>p__Bacillota_A</v>
      </c>
      <c r="C248" s="1">
        <v>81</v>
      </c>
      <c r="D248" s="3">
        <v>2132693</v>
      </c>
      <c r="E248" s="3">
        <f t="shared" si="7"/>
        <v>2.1326930000000002</v>
      </c>
      <c r="F248" s="1">
        <v>2627</v>
      </c>
      <c r="G248" s="2">
        <v>26329.5</v>
      </c>
      <c r="H248" s="1">
        <v>87394</v>
      </c>
      <c r="M248" t="s">
        <v>346</v>
      </c>
      <c r="N248" t="s">
        <v>1589</v>
      </c>
    </row>
    <row r="249" spans="1:14" x14ac:dyDescent="0.25">
      <c r="A249" t="s">
        <v>347</v>
      </c>
      <c r="B249" t="str">
        <f t="shared" si="6"/>
        <v>p__Bacillota_A</v>
      </c>
      <c r="C249" s="1">
        <v>4</v>
      </c>
      <c r="D249" s="3">
        <v>1910526</v>
      </c>
      <c r="E249" s="3">
        <f t="shared" si="7"/>
        <v>1.9105259999999999</v>
      </c>
      <c r="F249" s="1">
        <v>106734</v>
      </c>
      <c r="G249" s="2">
        <v>477631.5</v>
      </c>
      <c r="H249" s="1">
        <v>1166514</v>
      </c>
      <c r="M249" t="s">
        <v>347</v>
      </c>
      <c r="N249" t="s">
        <v>1589</v>
      </c>
    </row>
    <row r="250" spans="1:14" x14ac:dyDescent="0.25">
      <c r="A250" t="s">
        <v>348</v>
      </c>
      <c r="B250" t="str">
        <f t="shared" si="6"/>
        <v>p__Bacillota_A</v>
      </c>
      <c r="C250" s="1">
        <v>147</v>
      </c>
      <c r="D250" s="3">
        <v>2238336</v>
      </c>
      <c r="E250" s="3">
        <f t="shared" si="7"/>
        <v>2.2383359999999999</v>
      </c>
      <c r="F250" s="2">
        <v>2003</v>
      </c>
      <c r="G250" s="1">
        <v>15226.8</v>
      </c>
      <c r="H250" s="1">
        <v>123247</v>
      </c>
      <c r="M250" t="s">
        <v>348</v>
      </c>
      <c r="N250" t="s">
        <v>1589</v>
      </c>
    </row>
    <row r="251" spans="1:14" x14ac:dyDescent="0.25">
      <c r="A251" t="s">
        <v>349</v>
      </c>
      <c r="B251" t="str">
        <f t="shared" si="6"/>
        <v>p__Bacillota_A</v>
      </c>
      <c r="C251" s="1">
        <v>124</v>
      </c>
      <c r="D251" s="3">
        <v>2420212</v>
      </c>
      <c r="E251" s="3">
        <f t="shared" si="7"/>
        <v>2.4202119999999998</v>
      </c>
      <c r="F251" s="2">
        <v>2020</v>
      </c>
      <c r="G251" s="1">
        <v>19517.8</v>
      </c>
      <c r="H251" s="1">
        <v>111818</v>
      </c>
      <c r="M251" t="s">
        <v>349</v>
      </c>
      <c r="N251" t="s">
        <v>1589</v>
      </c>
    </row>
    <row r="252" spans="1:14" x14ac:dyDescent="0.25">
      <c r="A252" t="s">
        <v>350</v>
      </c>
      <c r="B252" t="str">
        <f t="shared" si="6"/>
        <v>p__Bacillota_A</v>
      </c>
      <c r="C252" s="1">
        <v>281</v>
      </c>
      <c r="D252" s="3">
        <v>983815</v>
      </c>
      <c r="E252" s="3">
        <f t="shared" si="7"/>
        <v>0.983815</v>
      </c>
      <c r="F252" s="2">
        <v>2010</v>
      </c>
      <c r="G252" s="1">
        <v>3501.1</v>
      </c>
      <c r="H252" s="1">
        <v>20096</v>
      </c>
      <c r="M252" t="s">
        <v>350</v>
      </c>
      <c r="N252" t="s">
        <v>1589</v>
      </c>
    </row>
    <row r="253" spans="1:14" x14ac:dyDescent="0.25">
      <c r="A253" t="s">
        <v>351</v>
      </c>
      <c r="B253" t="str">
        <f t="shared" si="6"/>
        <v>p__Bacillota_A</v>
      </c>
      <c r="C253" s="1">
        <v>16</v>
      </c>
      <c r="D253" s="3">
        <v>1913813</v>
      </c>
      <c r="E253" s="3">
        <f t="shared" si="7"/>
        <v>1.913813</v>
      </c>
      <c r="F253" s="1">
        <v>3472</v>
      </c>
      <c r="G253" s="2">
        <v>119613.3</v>
      </c>
      <c r="H253" s="1">
        <v>439747</v>
      </c>
      <c r="M253" t="s">
        <v>351</v>
      </c>
      <c r="N253" t="s">
        <v>1589</v>
      </c>
    </row>
    <row r="254" spans="1:14" x14ac:dyDescent="0.25">
      <c r="A254" t="s">
        <v>352</v>
      </c>
      <c r="B254" t="str">
        <f t="shared" si="6"/>
        <v>p__Bacillota_A</v>
      </c>
      <c r="C254" s="1">
        <v>155</v>
      </c>
      <c r="D254" s="3">
        <v>1430124</v>
      </c>
      <c r="E254" s="3">
        <f t="shared" si="7"/>
        <v>1.430124</v>
      </c>
      <c r="F254" s="2">
        <v>2014</v>
      </c>
      <c r="G254" s="1">
        <v>9226.6</v>
      </c>
      <c r="H254" s="1">
        <v>101205</v>
      </c>
      <c r="M254" t="s">
        <v>352</v>
      </c>
      <c r="N254" t="s">
        <v>1589</v>
      </c>
    </row>
    <row r="255" spans="1:14" x14ac:dyDescent="0.25">
      <c r="A255" t="s">
        <v>353</v>
      </c>
      <c r="B255" t="str">
        <f t="shared" si="6"/>
        <v>p__Bacillota_A</v>
      </c>
      <c r="C255" s="1">
        <v>100</v>
      </c>
      <c r="D255" s="3">
        <v>1617955</v>
      </c>
      <c r="E255" s="3">
        <f t="shared" si="7"/>
        <v>1.617955</v>
      </c>
      <c r="F255" s="2">
        <v>2002</v>
      </c>
      <c r="G255" s="1">
        <v>16179.6</v>
      </c>
      <c r="H255" s="1">
        <v>202899</v>
      </c>
      <c r="M255" t="s">
        <v>353</v>
      </c>
      <c r="N255" t="s">
        <v>1589</v>
      </c>
    </row>
    <row r="256" spans="1:14" x14ac:dyDescent="0.25">
      <c r="A256" t="s">
        <v>354</v>
      </c>
      <c r="B256" t="str">
        <f t="shared" si="6"/>
        <v>p__Bacillota_A</v>
      </c>
      <c r="C256" s="1">
        <v>55</v>
      </c>
      <c r="D256" s="3">
        <v>1601321</v>
      </c>
      <c r="E256" s="3">
        <f t="shared" si="7"/>
        <v>1.601321</v>
      </c>
      <c r="F256" s="1">
        <v>2259</v>
      </c>
      <c r="G256" s="2">
        <v>29114.9</v>
      </c>
      <c r="H256" s="1">
        <v>125164</v>
      </c>
      <c r="M256" t="s">
        <v>354</v>
      </c>
      <c r="N256" t="s">
        <v>1589</v>
      </c>
    </row>
    <row r="257" spans="1:14" x14ac:dyDescent="0.25">
      <c r="A257" t="s">
        <v>355</v>
      </c>
      <c r="B257" t="str">
        <f t="shared" si="6"/>
        <v>p__Bacillota_A</v>
      </c>
      <c r="C257" s="1">
        <v>34</v>
      </c>
      <c r="D257" s="3">
        <v>1756839</v>
      </c>
      <c r="E257" s="3">
        <f t="shared" si="7"/>
        <v>1.756839</v>
      </c>
      <c r="F257" s="1">
        <v>5169</v>
      </c>
      <c r="G257" s="2">
        <v>51671.7</v>
      </c>
      <c r="H257" s="1">
        <v>228281</v>
      </c>
      <c r="M257" t="s">
        <v>355</v>
      </c>
      <c r="N257" t="s">
        <v>1589</v>
      </c>
    </row>
    <row r="258" spans="1:14" x14ac:dyDescent="0.25">
      <c r="A258" t="s">
        <v>356</v>
      </c>
      <c r="B258" t="str">
        <f t="shared" ref="B258:B321" si="8">VLOOKUP(A258,M:N,2,FALSE)</f>
        <v>p__Bacillota_A</v>
      </c>
      <c r="C258" s="1">
        <v>31</v>
      </c>
      <c r="D258" s="3">
        <v>1802756</v>
      </c>
      <c r="E258" s="3">
        <f t="shared" ref="E258:E321" si="9">D258/1000000</f>
        <v>1.802756</v>
      </c>
      <c r="F258" s="1">
        <v>3709</v>
      </c>
      <c r="G258" s="2">
        <v>58153.4</v>
      </c>
      <c r="H258" s="1">
        <v>190488</v>
      </c>
      <c r="M258" t="s">
        <v>356</v>
      </c>
      <c r="N258" t="s">
        <v>1589</v>
      </c>
    </row>
    <row r="259" spans="1:14" x14ac:dyDescent="0.25">
      <c r="A259" t="s">
        <v>357</v>
      </c>
      <c r="B259" t="str">
        <f t="shared" si="8"/>
        <v>p__Bacillota_A</v>
      </c>
      <c r="C259" s="1">
        <v>25</v>
      </c>
      <c r="D259" s="3">
        <v>1363654</v>
      </c>
      <c r="E259" s="3">
        <f t="shared" si="9"/>
        <v>1.3636539999999999</v>
      </c>
      <c r="F259" s="1">
        <v>7211</v>
      </c>
      <c r="G259" s="2">
        <v>54546.2</v>
      </c>
      <c r="H259" s="1">
        <v>195235</v>
      </c>
      <c r="M259" t="s">
        <v>357</v>
      </c>
      <c r="N259" t="s">
        <v>1589</v>
      </c>
    </row>
    <row r="260" spans="1:14" x14ac:dyDescent="0.25">
      <c r="A260" t="s">
        <v>358</v>
      </c>
      <c r="B260" t="str">
        <f t="shared" si="8"/>
        <v>p__Bacillota_A</v>
      </c>
      <c r="C260" s="1">
        <v>23</v>
      </c>
      <c r="D260" s="3">
        <v>3011091</v>
      </c>
      <c r="E260" s="3">
        <f t="shared" si="9"/>
        <v>3.011091</v>
      </c>
      <c r="F260" s="1">
        <v>2191</v>
      </c>
      <c r="G260" s="1">
        <v>130917</v>
      </c>
      <c r="H260" s="1">
        <v>752522</v>
      </c>
      <c r="M260" t="s">
        <v>358</v>
      </c>
      <c r="N260" t="s">
        <v>1589</v>
      </c>
    </row>
    <row r="261" spans="1:14" x14ac:dyDescent="0.25">
      <c r="A261" t="s">
        <v>359</v>
      </c>
      <c r="B261" t="str">
        <f t="shared" si="8"/>
        <v>p__Bacillota_A</v>
      </c>
      <c r="C261" s="1">
        <v>182</v>
      </c>
      <c r="D261" s="3">
        <v>1793243</v>
      </c>
      <c r="E261" s="3">
        <f t="shared" si="9"/>
        <v>1.7932429999999999</v>
      </c>
      <c r="F261" s="1">
        <v>2008</v>
      </c>
      <c r="G261" s="1">
        <v>9853</v>
      </c>
      <c r="H261" s="1">
        <v>141187</v>
      </c>
      <c r="M261" t="s">
        <v>359</v>
      </c>
      <c r="N261" t="s">
        <v>1589</v>
      </c>
    </row>
    <row r="262" spans="1:14" x14ac:dyDescent="0.25">
      <c r="A262" t="s">
        <v>360</v>
      </c>
      <c r="B262" t="str">
        <f t="shared" si="8"/>
        <v>p__Bacillota_A</v>
      </c>
      <c r="C262" s="1">
        <v>45</v>
      </c>
      <c r="D262" s="3">
        <v>3023637</v>
      </c>
      <c r="E262" s="3">
        <f t="shared" si="9"/>
        <v>3.0236369999999999</v>
      </c>
      <c r="F262" s="1">
        <v>8318</v>
      </c>
      <c r="G262" s="2">
        <v>67191.899999999994</v>
      </c>
      <c r="H262" s="1">
        <v>213695</v>
      </c>
      <c r="M262" t="s">
        <v>360</v>
      </c>
      <c r="N262" t="s">
        <v>1589</v>
      </c>
    </row>
    <row r="263" spans="1:14" x14ac:dyDescent="0.25">
      <c r="A263" t="s">
        <v>361</v>
      </c>
      <c r="B263" t="str">
        <f t="shared" si="8"/>
        <v>p__Bacillota_A</v>
      </c>
      <c r="C263" s="1">
        <v>7</v>
      </c>
      <c r="D263" s="3">
        <v>2204301</v>
      </c>
      <c r="E263" s="3">
        <f t="shared" si="9"/>
        <v>2.2043010000000001</v>
      </c>
      <c r="F263" s="1">
        <v>38659</v>
      </c>
      <c r="G263" s="2">
        <v>314900.09999999998</v>
      </c>
      <c r="H263" s="1">
        <v>697494</v>
      </c>
      <c r="M263" t="s">
        <v>361</v>
      </c>
      <c r="N263" t="s">
        <v>1589</v>
      </c>
    </row>
    <row r="264" spans="1:14" x14ac:dyDescent="0.25">
      <c r="A264" t="s">
        <v>362</v>
      </c>
      <c r="B264" t="str">
        <f t="shared" si="8"/>
        <v>p__Bacillota_A</v>
      </c>
      <c r="C264" s="1">
        <v>5</v>
      </c>
      <c r="D264" s="3">
        <v>2683322</v>
      </c>
      <c r="E264" s="3">
        <f t="shared" si="9"/>
        <v>2.683322</v>
      </c>
      <c r="F264" s="1">
        <v>2125</v>
      </c>
      <c r="G264" s="2">
        <v>536664.4</v>
      </c>
      <c r="H264" s="1">
        <v>1231193</v>
      </c>
      <c r="M264" t="s">
        <v>362</v>
      </c>
      <c r="N264" t="s">
        <v>1589</v>
      </c>
    </row>
    <row r="265" spans="1:14" x14ac:dyDescent="0.25">
      <c r="A265" t="s">
        <v>363</v>
      </c>
      <c r="B265" t="str">
        <f t="shared" si="8"/>
        <v>p__Bacillota_A</v>
      </c>
      <c r="C265" s="1">
        <v>13</v>
      </c>
      <c r="D265" s="3">
        <v>2370057</v>
      </c>
      <c r="E265" s="3">
        <f t="shared" si="9"/>
        <v>2.3700570000000001</v>
      </c>
      <c r="F265" s="1">
        <v>18063</v>
      </c>
      <c r="G265" s="2">
        <v>182312.1</v>
      </c>
      <c r="H265" s="1">
        <v>960772</v>
      </c>
      <c r="M265" t="s">
        <v>363</v>
      </c>
      <c r="N265" t="s">
        <v>1589</v>
      </c>
    </row>
    <row r="266" spans="1:14" x14ac:dyDescent="0.25">
      <c r="A266" t="s">
        <v>364</v>
      </c>
      <c r="B266" t="str">
        <f t="shared" si="8"/>
        <v>p__Bacillota_A</v>
      </c>
      <c r="C266" s="1">
        <v>68</v>
      </c>
      <c r="D266" s="3">
        <v>1758789</v>
      </c>
      <c r="E266" s="3">
        <f t="shared" si="9"/>
        <v>1.7587889999999999</v>
      </c>
      <c r="F266" s="1">
        <v>2046</v>
      </c>
      <c r="G266" s="2">
        <v>25864.5</v>
      </c>
      <c r="H266" s="1">
        <v>93745</v>
      </c>
      <c r="M266" t="s">
        <v>364</v>
      </c>
      <c r="N266" t="s">
        <v>1589</v>
      </c>
    </row>
    <row r="267" spans="1:14" x14ac:dyDescent="0.25">
      <c r="A267" t="s">
        <v>365</v>
      </c>
      <c r="B267" t="str">
        <f t="shared" si="8"/>
        <v>p__Bacillota_A</v>
      </c>
      <c r="C267" s="1">
        <v>40</v>
      </c>
      <c r="D267" s="3">
        <v>1946336</v>
      </c>
      <c r="E267" s="3">
        <f t="shared" si="9"/>
        <v>1.9463360000000001</v>
      </c>
      <c r="F267" s="1">
        <v>2318</v>
      </c>
      <c r="G267" s="2">
        <v>48658.400000000001</v>
      </c>
      <c r="H267" s="1">
        <v>214542</v>
      </c>
      <c r="M267" t="s">
        <v>365</v>
      </c>
      <c r="N267" t="s">
        <v>1589</v>
      </c>
    </row>
    <row r="268" spans="1:14" x14ac:dyDescent="0.25">
      <c r="A268" t="s">
        <v>366</v>
      </c>
      <c r="B268" t="str">
        <f t="shared" si="8"/>
        <v>p__Bacillota_A</v>
      </c>
      <c r="C268" s="1">
        <v>21</v>
      </c>
      <c r="D268" s="3">
        <v>1775321</v>
      </c>
      <c r="E268" s="3">
        <f t="shared" si="9"/>
        <v>1.7753209999999999</v>
      </c>
      <c r="F268" s="1">
        <v>2252</v>
      </c>
      <c r="G268" s="2">
        <v>84539.1</v>
      </c>
      <c r="H268" s="1">
        <v>569362</v>
      </c>
      <c r="M268" t="s">
        <v>366</v>
      </c>
      <c r="N268" t="s">
        <v>1589</v>
      </c>
    </row>
    <row r="269" spans="1:14" x14ac:dyDescent="0.25">
      <c r="A269" t="s">
        <v>367</v>
      </c>
      <c r="B269" t="str">
        <f t="shared" si="8"/>
        <v>p__Bacillota_A</v>
      </c>
      <c r="C269" s="1">
        <v>85</v>
      </c>
      <c r="D269" s="3">
        <v>1552714</v>
      </c>
      <c r="E269" s="3">
        <f t="shared" si="9"/>
        <v>1.5527139999999999</v>
      </c>
      <c r="F269" s="1">
        <v>2075</v>
      </c>
      <c r="G269" s="2">
        <v>18267.2</v>
      </c>
      <c r="H269" s="1">
        <v>55559</v>
      </c>
      <c r="M269" t="s">
        <v>367</v>
      </c>
      <c r="N269" t="s">
        <v>1589</v>
      </c>
    </row>
    <row r="270" spans="1:14" x14ac:dyDescent="0.25">
      <c r="A270" t="s">
        <v>368</v>
      </c>
      <c r="B270" t="str">
        <f t="shared" si="8"/>
        <v>p__Bacillota_A</v>
      </c>
      <c r="C270" s="1">
        <v>57</v>
      </c>
      <c r="D270" s="3">
        <v>2033258</v>
      </c>
      <c r="E270" s="3">
        <f t="shared" si="9"/>
        <v>2.033258</v>
      </c>
      <c r="F270" s="1">
        <v>2080</v>
      </c>
      <c r="G270" s="2">
        <v>35671.199999999997</v>
      </c>
      <c r="H270" s="1">
        <v>175898</v>
      </c>
      <c r="M270" t="s">
        <v>368</v>
      </c>
      <c r="N270" t="s">
        <v>1589</v>
      </c>
    </row>
    <row r="271" spans="1:14" x14ac:dyDescent="0.25">
      <c r="A271" t="s">
        <v>369</v>
      </c>
      <c r="B271" t="str">
        <f t="shared" si="8"/>
        <v>p__Bacillota_A</v>
      </c>
      <c r="C271" s="1">
        <v>18</v>
      </c>
      <c r="D271" s="3">
        <v>1680132</v>
      </c>
      <c r="E271" s="3">
        <f t="shared" si="9"/>
        <v>1.680132</v>
      </c>
      <c r="F271" s="1">
        <v>11765</v>
      </c>
      <c r="G271" s="2">
        <v>93340.7</v>
      </c>
      <c r="H271" s="1">
        <v>255468</v>
      </c>
      <c r="M271" t="s">
        <v>369</v>
      </c>
      <c r="N271" t="s">
        <v>1589</v>
      </c>
    </row>
    <row r="272" spans="1:14" x14ac:dyDescent="0.25">
      <c r="A272" t="s">
        <v>370</v>
      </c>
      <c r="B272" t="str">
        <f t="shared" si="8"/>
        <v>p__Bacillota_A</v>
      </c>
      <c r="C272" s="1">
        <v>201</v>
      </c>
      <c r="D272" s="3">
        <v>1638701</v>
      </c>
      <c r="E272" s="3">
        <f t="shared" si="9"/>
        <v>1.638701</v>
      </c>
      <c r="F272" s="2">
        <v>2006</v>
      </c>
      <c r="G272" s="1">
        <v>8152.7</v>
      </c>
      <c r="H272" s="1">
        <v>73470</v>
      </c>
      <c r="M272" t="s">
        <v>370</v>
      </c>
      <c r="N272" t="s">
        <v>1589</v>
      </c>
    </row>
    <row r="273" spans="1:14" x14ac:dyDescent="0.25">
      <c r="A273" t="s">
        <v>371</v>
      </c>
      <c r="B273" t="str">
        <f t="shared" si="8"/>
        <v>p__Bacillota_A</v>
      </c>
      <c r="C273" s="1">
        <v>100</v>
      </c>
      <c r="D273" s="3">
        <v>1911828</v>
      </c>
      <c r="E273" s="3">
        <f t="shared" si="9"/>
        <v>1.9118280000000001</v>
      </c>
      <c r="F273" s="2">
        <v>2054</v>
      </c>
      <c r="G273" s="1">
        <v>19118.3</v>
      </c>
      <c r="H273" s="1">
        <v>79544</v>
      </c>
      <c r="M273" t="s">
        <v>371</v>
      </c>
      <c r="N273" t="s">
        <v>1589</v>
      </c>
    </row>
    <row r="274" spans="1:14" x14ac:dyDescent="0.25">
      <c r="A274" t="s">
        <v>372</v>
      </c>
      <c r="B274" t="str">
        <f t="shared" si="8"/>
        <v>p__Bacillota_A</v>
      </c>
      <c r="C274" s="1">
        <v>18</v>
      </c>
      <c r="D274" s="3">
        <v>2127407</v>
      </c>
      <c r="E274" s="3">
        <f t="shared" si="9"/>
        <v>2.1274069999999998</v>
      </c>
      <c r="F274" s="1">
        <v>2107</v>
      </c>
      <c r="G274" s="2">
        <v>118189.3</v>
      </c>
      <c r="H274" s="1">
        <v>560175</v>
      </c>
      <c r="M274" t="s">
        <v>372</v>
      </c>
      <c r="N274" t="s">
        <v>1589</v>
      </c>
    </row>
    <row r="275" spans="1:14" x14ac:dyDescent="0.25">
      <c r="A275" t="s">
        <v>373</v>
      </c>
      <c r="B275" t="str">
        <f t="shared" si="8"/>
        <v>p__Bacillota_A</v>
      </c>
      <c r="C275" s="1">
        <v>388</v>
      </c>
      <c r="D275" s="3">
        <v>1783595</v>
      </c>
      <c r="E275" s="3">
        <f t="shared" si="9"/>
        <v>1.783595</v>
      </c>
      <c r="F275" s="2">
        <v>2005</v>
      </c>
      <c r="G275" s="1">
        <v>4596.8999999999996</v>
      </c>
      <c r="H275" s="1">
        <v>54947</v>
      </c>
      <c r="M275" t="s">
        <v>373</v>
      </c>
      <c r="N275" t="s">
        <v>1589</v>
      </c>
    </row>
    <row r="276" spans="1:14" x14ac:dyDescent="0.25">
      <c r="A276" t="s">
        <v>374</v>
      </c>
      <c r="B276" t="str">
        <f t="shared" si="8"/>
        <v>p__Bacillota_A</v>
      </c>
      <c r="C276" s="1">
        <v>78</v>
      </c>
      <c r="D276" s="3">
        <v>1460756</v>
      </c>
      <c r="E276" s="3">
        <f t="shared" si="9"/>
        <v>1.4607559999999999</v>
      </c>
      <c r="F276" s="1">
        <v>2016</v>
      </c>
      <c r="G276" s="2">
        <v>18727.599999999999</v>
      </c>
      <c r="H276" s="1">
        <v>125180</v>
      </c>
      <c r="M276" t="s">
        <v>374</v>
      </c>
      <c r="N276" t="s">
        <v>1589</v>
      </c>
    </row>
    <row r="277" spans="1:14" x14ac:dyDescent="0.25">
      <c r="A277" t="s">
        <v>375</v>
      </c>
      <c r="B277" t="str">
        <f t="shared" si="8"/>
        <v>p__Bacillota_A</v>
      </c>
      <c r="C277" s="1">
        <v>129</v>
      </c>
      <c r="D277" s="3">
        <v>1867652</v>
      </c>
      <c r="E277" s="3">
        <f t="shared" si="9"/>
        <v>1.8676520000000001</v>
      </c>
      <c r="F277" s="2">
        <v>2004</v>
      </c>
      <c r="G277" s="1">
        <v>14477.9</v>
      </c>
      <c r="H277" s="1">
        <v>161937</v>
      </c>
      <c r="M277" t="s">
        <v>375</v>
      </c>
      <c r="N277" t="s">
        <v>1589</v>
      </c>
    </row>
    <row r="278" spans="1:14" x14ac:dyDescent="0.25">
      <c r="A278" t="s">
        <v>376</v>
      </c>
      <c r="B278" t="str">
        <f t="shared" si="8"/>
        <v>p__Bacillota_A</v>
      </c>
      <c r="C278" s="1">
        <v>57</v>
      </c>
      <c r="D278" s="3">
        <v>1906803</v>
      </c>
      <c r="E278" s="3">
        <f t="shared" si="9"/>
        <v>1.906803</v>
      </c>
      <c r="F278" s="1">
        <v>4327</v>
      </c>
      <c r="G278" s="2">
        <v>33452.699999999997</v>
      </c>
      <c r="H278" s="1">
        <v>160110</v>
      </c>
      <c r="M278" t="s">
        <v>376</v>
      </c>
      <c r="N278" t="s">
        <v>1589</v>
      </c>
    </row>
    <row r="279" spans="1:14" x14ac:dyDescent="0.25">
      <c r="A279" t="s">
        <v>377</v>
      </c>
      <c r="B279" t="str">
        <f t="shared" si="8"/>
        <v>p__Bacillota_A</v>
      </c>
      <c r="C279" s="1">
        <v>43</v>
      </c>
      <c r="D279" s="3">
        <v>2860132</v>
      </c>
      <c r="E279" s="3">
        <f t="shared" si="9"/>
        <v>2.8601320000000001</v>
      </c>
      <c r="F279" s="1">
        <v>2134</v>
      </c>
      <c r="G279" s="2">
        <v>66514.7</v>
      </c>
      <c r="H279" s="1">
        <v>500484</v>
      </c>
      <c r="M279" t="s">
        <v>377</v>
      </c>
      <c r="N279" t="s">
        <v>1589</v>
      </c>
    </row>
    <row r="280" spans="1:14" x14ac:dyDescent="0.25">
      <c r="A280" t="s">
        <v>378</v>
      </c>
      <c r="B280" t="str">
        <f t="shared" si="8"/>
        <v>p__Bacillota_A</v>
      </c>
      <c r="C280" s="1">
        <v>92</v>
      </c>
      <c r="D280" s="3">
        <v>2964510</v>
      </c>
      <c r="E280" s="3">
        <f t="shared" si="9"/>
        <v>2.9645100000000002</v>
      </c>
      <c r="F280" s="1">
        <v>2019</v>
      </c>
      <c r="G280" s="2">
        <v>32222.9</v>
      </c>
      <c r="H280" s="1">
        <v>488762</v>
      </c>
      <c r="M280" t="s">
        <v>378</v>
      </c>
      <c r="N280" t="s">
        <v>1589</v>
      </c>
    </row>
    <row r="281" spans="1:14" x14ac:dyDescent="0.25">
      <c r="A281" t="s">
        <v>379</v>
      </c>
      <c r="B281" t="str">
        <f t="shared" si="8"/>
        <v>p__Bacillota_A</v>
      </c>
      <c r="C281" s="1">
        <v>27</v>
      </c>
      <c r="D281" s="3">
        <v>1862015</v>
      </c>
      <c r="E281" s="3">
        <f t="shared" si="9"/>
        <v>1.862015</v>
      </c>
      <c r="F281" s="1">
        <v>6004</v>
      </c>
      <c r="G281" s="2">
        <v>68963.5</v>
      </c>
      <c r="H281" s="1">
        <v>265464</v>
      </c>
      <c r="M281" t="s">
        <v>379</v>
      </c>
      <c r="N281" t="s">
        <v>1589</v>
      </c>
    </row>
    <row r="282" spans="1:14" x14ac:dyDescent="0.25">
      <c r="A282" t="s">
        <v>380</v>
      </c>
      <c r="B282" t="str">
        <f t="shared" si="8"/>
        <v>p__Bacillota_A</v>
      </c>
      <c r="C282" s="1">
        <v>33</v>
      </c>
      <c r="D282" s="3">
        <v>2302443</v>
      </c>
      <c r="E282" s="3">
        <f t="shared" si="9"/>
        <v>2.3024429999999998</v>
      </c>
      <c r="F282" s="1">
        <v>5757</v>
      </c>
      <c r="G282" s="1">
        <v>69771</v>
      </c>
      <c r="H282" s="1">
        <v>188766</v>
      </c>
      <c r="M282" t="s">
        <v>380</v>
      </c>
      <c r="N282" t="s">
        <v>1589</v>
      </c>
    </row>
    <row r="283" spans="1:14" x14ac:dyDescent="0.25">
      <c r="A283" t="s">
        <v>381</v>
      </c>
      <c r="B283" t="str">
        <f t="shared" si="8"/>
        <v>p__Bacillota_A</v>
      </c>
      <c r="C283" s="1">
        <v>10</v>
      </c>
      <c r="D283" s="3">
        <v>1923448</v>
      </c>
      <c r="E283" s="3">
        <f t="shared" si="9"/>
        <v>1.923448</v>
      </c>
      <c r="F283" s="1">
        <v>2065</v>
      </c>
      <c r="G283" s="2">
        <v>192344.8</v>
      </c>
      <c r="H283" s="1">
        <v>563838</v>
      </c>
      <c r="M283" t="s">
        <v>381</v>
      </c>
      <c r="N283" t="s">
        <v>1589</v>
      </c>
    </row>
    <row r="284" spans="1:14" x14ac:dyDescent="0.25">
      <c r="A284" t="s">
        <v>382</v>
      </c>
      <c r="B284" t="str">
        <f t="shared" si="8"/>
        <v>p__Bacillota_A</v>
      </c>
      <c r="C284" s="1">
        <v>10</v>
      </c>
      <c r="D284" s="3">
        <v>2043235</v>
      </c>
      <c r="E284" s="3">
        <f t="shared" si="9"/>
        <v>2.0432350000000001</v>
      </c>
      <c r="F284" s="1">
        <v>61100</v>
      </c>
      <c r="G284" s="2">
        <v>204323.5</v>
      </c>
      <c r="H284" s="1">
        <v>740027</v>
      </c>
      <c r="M284" t="s">
        <v>382</v>
      </c>
      <c r="N284" t="s">
        <v>1589</v>
      </c>
    </row>
    <row r="285" spans="1:14" x14ac:dyDescent="0.25">
      <c r="A285" t="s">
        <v>383</v>
      </c>
      <c r="B285" t="str">
        <f t="shared" si="8"/>
        <v>p__Bacillota_A</v>
      </c>
      <c r="C285" s="1">
        <v>66</v>
      </c>
      <c r="D285" s="3">
        <v>1975837</v>
      </c>
      <c r="E285" s="3">
        <f t="shared" si="9"/>
        <v>1.9758370000000001</v>
      </c>
      <c r="F285" s="1">
        <v>2521</v>
      </c>
      <c r="G285" s="2">
        <v>29936.9</v>
      </c>
      <c r="H285" s="1">
        <v>154129</v>
      </c>
      <c r="M285" t="s">
        <v>383</v>
      </c>
      <c r="N285" t="s">
        <v>1589</v>
      </c>
    </row>
    <row r="286" spans="1:14" x14ac:dyDescent="0.25">
      <c r="A286" t="s">
        <v>384</v>
      </c>
      <c r="B286" t="str">
        <f t="shared" si="8"/>
        <v>p__Bacillota_A</v>
      </c>
      <c r="C286" s="1">
        <v>164</v>
      </c>
      <c r="D286" s="3">
        <v>1464742</v>
      </c>
      <c r="E286" s="3">
        <f t="shared" si="9"/>
        <v>1.464742</v>
      </c>
      <c r="F286" s="2">
        <v>2008</v>
      </c>
      <c r="G286" s="1">
        <v>8931.4</v>
      </c>
      <c r="H286" s="1">
        <v>91666</v>
      </c>
      <c r="M286" t="s">
        <v>384</v>
      </c>
      <c r="N286" t="s">
        <v>1589</v>
      </c>
    </row>
    <row r="287" spans="1:14" x14ac:dyDescent="0.25">
      <c r="A287" t="s">
        <v>385</v>
      </c>
      <c r="B287" t="str">
        <f t="shared" si="8"/>
        <v>p__Bacillota_A</v>
      </c>
      <c r="C287" s="1">
        <v>24</v>
      </c>
      <c r="D287" s="3">
        <v>2001325</v>
      </c>
      <c r="E287" s="3">
        <f t="shared" si="9"/>
        <v>2.001325</v>
      </c>
      <c r="F287" s="1">
        <v>2267</v>
      </c>
      <c r="G287" s="2">
        <v>83388.5</v>
      </c>
      <c r="H287" s="1">
        <v>390224</v>
      </c>
      <c r="M287" t="s">
        <v>385</v>
      </c>
      <c r="N287" t="s">
        <v>1589</v>
      </c>
    </row>
    <row r="288" spans="1:14" x14ac:dyDescent="0.25">
      <c r="A288" t="s">
        <v>386</v>
      </c>
      <c r="B288" t="str">
        <f t="shared" si="8"/>
        <v>p__Bacillota_A</v>
      </c>
      <c r="C288" s="1">
        <v>12</v>
      </c>
      <c r="D288" s="3">
        <v>2130745</v>
      </c>
      <c r="E288" s="3">
        <f t="shared" si="9"/>
        <v>2.1307450000000001</v>
      </c>
      <c r="F288" s="1">
        <v>49927</v>
      </c>
      <c r="G288" s="2">
        <v>177562.1</v>
      </c>
      <c r="H288" s="1">
        <v>361656</v>
      </c>
      <c r="M288" t="s">
        <v>386</v>
      </c>
      <c r="N288" t="s">
        <v>1589</v>
      </c>
    </row>
    <row r="289" spans="1:14" x14ac:dyDescent="0.25">
      <c r="A289" t="s">
        <v>387</v>
      </c>
      <c r="B289" t="str">
        <f t="shared" si="8"/>
        <v>p__Bacillota_A</v>
      </c>
      <c r="C289" s="1">
        <v>5</v>
      </c>
      <c r="D289" s="3">
        <v>2709248</v>
      </c>
      <c r="E289" s="3">
        <f t="shared" si="9"/>
        <v>2.7092480000000001</v>
      </c>
      <c r="F289" s="1">
        <v>48759</v>
      </c>
      <c r="G289" s="2">
        <v>541849.59999999998</v>
      </c>
      <c r="H289" s="1">
        <v>1140782</v>
      </c>
      <c r="M289" t="s">
        <v>387</v>
      </c>
      <c r="N289" t="s">
        <v>1589</v>
      </c>
    </row>
    <row r="290" spans="1:14" x14ac:dyDescent="0.25">
      <c r="A290" t="s">
        <v>388</v>
      </c>
      <c r="B290" t="str">
        <f t="shared" si="8"/>
        <v>p__Bacillota_A</v>
      </c>
      <c r="C290" s="1">
        <v>87</v>
      </c>
      <c r="D290" s="3">
        <v>2003279</v>
      </c>
      <c r="E290" s="3">
        <f t="shared" si="9"/>
        <v>2.003279</v>
      </c>
      <c r="F290" s="1">
        <v>2014</v>
      </c>
      <c r="G290" s="2">
        <v>23026.2</v>
      </c>
      <c r="H290" s="1">
        <v>95753</v>
      </c>
      <c r="M290" t="s">
        <v>388</v>
      </c>
      <c r="N290" t="s">
        <v>1589</v>
      </c>
    </row>
    <row r="291" spans="1:14" x14ac:dyDescent="0.25">
      <c r="A291" t="s">
        <v>389</v>
      </c>
      <c r="B291" t="str">
        <f t="shared" si="8"/>
        <v>p__Bacillota_A</v>
      </c>
      <c r="C291" s="1">
        <v>64</v>
      </c>
      <c r="D291" s="3">
        <v>2326713</v>
      </c>
      <c r="E291" s="3">
        <f t="shared" si="9"/>
        <v>2.3267129999999998</v>
      </c>
      <c r="F291" s="1">
        <v>2279</v>
      </c>
      <c r="G291" s="2">
        <v>36354.9</v>
      </c>
      <c r="H291" s="1">
        <v>162348</v>
      </c>
      <c r="M291" t="s">
        <v>389</v>
      </c>
      <c r="N291" t="s">
        <v>1589</v>
      </c>
    </row>
    <row r="292" spans="1:14" x14ac:dyDescent="0.25">
      <c r="A292" t="s">
        <v>390</v>
      </c>
      <c r="B292" t="str">
        <f t="shared" si="8"/>
        <v>p__Bacillota_A</v>
      </c>
      <c r="C292" s="1">
        <v>58</v>
      </c>
      <c r="D292" s="3">
        <v>1903469</v>
      </c>
      <c r="E292" s="3">
        <f t="shared" si="9"/>
        <v>1.9034690000000001</v>
      </c>
      <c r="F292" s="1">
        <v>2004</v>
      </c>
      <c r="G292" s="2">
        <v>32818.400000000001</v>
      </c>
      <c r="H292" s="1">
        <v>267925</v>
      </c>
      <c r="M292" t="s">
        <v>390</v>
      </c>
      <c r="N292" t="s">
        <v>1589</v>
      </c>
    </row>
    <row r="293" spans="1:14" x14ac:dyDescent="0.25">
      <c r="A293" t="s">
        <v>391</v>
      </c>
      <c r="B293" t="str">
        <f t="shared" si="8"/>
        <v>p__Bacillota_A</v>
      </c>
      <c r="C293" s="1">
        <v>197</v>
      </c>
      <c r="D293" s="3">
        <v>1083024</v>
      </c>
      <c r="E293" s="3">
        <f t="shared" si="9"/>
        <v>1.083024</v>
      </c>
      <c r="F293" s="2">
        <v>2500</v>
      </c>
      <c r="G293" s="1">
        <v>5497.6</v>
      </c>
      <c r="H293" s="1">
        <v>17054</v>
      </c>
      <c r="M293" t="s">
        <v>391</v>
      </c>
      <c r="N293" t="s">
        <v>1589</v>
      </c>
    </row>
    <row r="294" spans="1:14" x14ac:dyDescent="0.25">
      <c r="A294" t="s">
        <v>392</v>
      </c>
      <c r="B294" t="str">
        <f t="shared" si="8"/>
        <v>p__Bacillota_A</v>
      </c>
      <c r="C294" s="1">
        <v>408</v>
      </c>
      <c r="D294" s="3">
        <v>2434682</v>
      </c>
      <c r="E294" s="3">
        <f t="shared" si="9"/>
        <v>2.434682</v>
      </c>
      <c r="F294" s="2">
        <v>2000</v>
      </c>
      <c r="G294" s="1">
        <v>5967.4</v>
      </c>
      <c r="H294" s="1">
        <v>116187</v>
      </c>
      <c r="M294" t="s">
        <v>392</v>
      </c>
      <c r="N294" t="s">
        <v>1589</v>
      </c>
    </row>
    <row r="295" spans="1:14" x14ac:dyDescent="0.25">
      <c r="A295" t="s">
        <v>393</v>
      </c>
      <c r="B295" t="str">
        <f t="shared" si="8"/>
        <v>p__Bacillota_A</v>
      </c>
      <c r="C295" s="1">
        <v>340</v>
      </c>
      <c r="D295" s="3">
        <v>2122988</v>
      </c>
      <c r="E295" s="3">
        <f t="shared" si="9"/>
        <v>2.1229879999999999</v>
      </c>
      <c r="F295" s="2">
        <v>2005</v>
      </c>
      <c r="G295" s="1">
        <v>6244.1</v>
      </c>
      <c r="H295" s="1">
        <v>46829</v>
      </c>
      <c r="M295" t="s">
        <v>393</v>
      </c>
      <c r="N295" t="s">
        <v>1589</v>
      </c>
    </row>
    <row r="296" spans="1:14" x14ac:dyDescent="0.25">
      <c r="A296" t="s">
        <v>394</v>
      </c>
      <c r="B296" t="str">
        <f t="shared" si="8"/>
        <v>p__Bacillota_A</v>
      </c>
      <c r="C296" s="1">
        <v>126</v>
      </c>
      <c r="D296" s="3">
        <v>2216071</v>
      </c>
      <c r="E296" s="3">
        <f t="shared" si="9"/>
        <v>2.2160709999999999</v>
      </c>
      <c r="F296" s="2">
        <v>2587</v>
      </c>
      <c r="G296" s="1">
        <v>17587.900000000001</v>
      </c>
      <c r="H296" s="1">
        <v>113848</v>
      </c>
      <c r="M296" t="s">
        <v>394</v>
      </c>
      <c r="N296" t="s">
        <v>1589</v>
      </c>
    </row>
    <row r="297" spans="1:14" x14ac:dyDescent="0.25">
      <c r="A297" t="s">
        <v>395</v>
      </c>
      <c r="B297" t="str">
        <f t="shared" si="8"/>
        <v>p__Bacillota_A</v>
      </c>
      <c r="C297" s="1">
        <v>24</v>
      </c>
      <c r="D297" s="3">
        <v>1358645</v>
      </c>
      <c r="E297" s="3">
        <f t="shared" si="9"/>
        <v>1.3586450000000001</v>
      </c>
      <c r="F297" s="1">
        <v>2069</v>
      </c>
      <c r="G297" s="2">
        <v>56610.2</v>
      </c>
      <c r="H297" s="1">
        <v>307189</v>
      </c>
      <c r="M297" t="s">
        <v>395</v>
      </c>
      <c r="N297" t="s">
        <v>1589</v>
      </c>
    </row>
    <row r="298" spans="1:14" x14ac:dyDescent="0.25">
      <c r="A298" t="s">
        <v>396</v>
      </c>
      <c r="B298" t="str">
        <f t="shared" si="8"/>
        <v>p__Bacillota_A</v>
      </c>
      <c r="C298" s="1">
        <v>38</v>
      </c>
      <c r="D298" s="3">
        <v>1897722</v>
      </c>
      <c r="E298" s="3">
        <f t="shared" si="9"/>
        <v>1.8977219999999999</v>
      </c>
      <c r="F298" s="1">
        <v>2109</v>
      </c>
      <c r="G298" s="2">
        <v>49940.1</v>
      </c>
      <c r="H298" s="1">
        <v>461450</v>
      </c>
      <c r="M298" t="s">
        <v>396</v>
      </c>
      <c r="N298" t="s">
        <v>1589</v>
      </c>
    </row>
    <row r="299" spans="1:14" x14ac:dyDescent="0.25">
      <c r="A299" t="s">
        <v>397</v>
      </c>
      <c r="B299" t="str">
        <f t="shared" si="8"/>
        <v>p__Bacillota_A</v>
      </c>
      <c r="C299" s="1">
        <v>12</v>
      </c>
      <c r="D299" s="3">
        <v>1605930</v>
      </c>
      <c r="E299" s="3">
        <f t="shared" si="9"/>
        <v>1.6059300000000001</v>
      </c>
      <c r="F299" s="1">
        <v>8844</v>
      </c>
      <c r="G299" s="2">
        <v>133827.5</v>
      </c>
      <c r="H299" s="1">
        <v>501903</v>
      </c>
      <c r="M299" t="s">
        <v>397</v>
      </c>
      <c r="N299" t="s">
        <v>1589</v>
      </c>
    </row>
    <row r="300" spans="1:14" x14ac:dyDescent="0.25">
      <c r="A300" t="s">
        <v>398</v>
      </c>
      <c r="B300" t="str">
        <f t="shared" si="8"/>
        <v>p__Bacillota_A</v>
      </c>
      <c r="C300" s="1">
        <v>123</v>
      </c>
      <c r="D300" s="3">
        <v>3944067</v>
      </c>
      <c r="E300" s="3">
        <f t="shared" si="9"/>
        <v>3.944067</v>
      </c>
      <c r="F300" s="2">
        <v>3442</v>
      </c>
      <c r="G300" s="1">
        <v>32065.599999999999</v>
      </c>
      <c r="H300" s="1">
        <v>178545</v>
      </c>
      <c r="M300" t="s">
        <v>398</v>
      </c>
      <c r="N300" t="s">
        <v>1589</v>
      </c>
    </row>
    <row r="301" spans="1:14" x14ac:dyDescent="0.25">
      <c r="A301" t="s">
        <v>399</v>
      </c>
      <c r="B301" t="str">
        <f t="shared" si="8"/>
        <v>p__Bacillota_A</v>
      </c>
      <c r="C301" s="1">
        <v>12</v>
      </c>
      <c r="D301" s="3">
        <v>3002369</v>
      </c>
      <c r="E301" s="3">
        <f t="shared" si="9"/>
        <v>3.0023689999999998</v>
      </c>
      <c r="F301" s="1">
        <v>2097</v>
      </c>
      <c r="G301" s="2">
        <v>250197.4</v>
      </c>
      <c r="H301" s="1">
        <v>823692</v>
      </c>
      <c r="M301" t="s">
        <v>399</v>
      </c>
      <c r="N301" t="s">
        <v>1589</v>
      </c>
    </row>
    <row r="302" spans="1:14" x14ac:dyDescent="0.25">
      <c r="A302" t="s">
        <v>400</v>
      </c>
      <c r="B302" t="str">
        <f t="shared" si="8"/>
        <v>p__Bacillota_A</v>
      </c>
      <c r="C302" s="1">
        <v>37</v>
      </c>
      <c r="D302" s="3">
        <v>2002900</v>
      </c>
      <c r="E302" s="3">
        <f t="shared" si="9"/>
        <v>2.0028999999999999</v>
      </c>
      <c r="F302" s="1">
        <v>9862</v>
      </c>
      <c r="G302" s="2">
        <v>54132.4</v>
      </c>
      <c r="H302" s="1">
        <v>186744</v>
      </c>
      <c r="M302" t="s">
        <v>400</v>
      </c>
      <c r="N302" t="s">
        <v>1589</v>
      </c>
    </row>
    <row r="303" spans="1:14" x14ac:dyDescent="0.25">
      <c r="A303" t="s">
        <v>401</v>
      </c>
      <c r="B303" t="str">
        <f t="shared" si="8"/>
        <v>p__Bacillota_A</v>
      </c>
      <c r="C303" s="1">
        <v>13</v>
      </c>
      <c r="D303" s="3">
        <v>1594039</v>
      </c>
      <c r="E303" s="3">
        <f t="shared" si="9"/>
        <v>1.594039</v>
      </c>
      <c r="F303" s="1">
        <v>15607</v>
      </c>
      <c r="G303" s="2">
        <v>122618.4</v>
      </c>
      <c r="H303" s="1">
        <v>378151</v>
      </c>
      <c r="M303" t="s">
        <v>401</v>
      </c>
      <c r="N303" t="s">
        <v>1589</v>
      </c>
    </row>
    <row r="304" spans="1:14" x14ac:dyDescent="0.25">
      <c r="A304" t="s">
        <v>402</v>
      </c>
      <c r="B304" t="str">
        <f t="shared" si="8"/>
        <v>p__Bacillota_A</v>
      </c>
      <c r="C304" s="1">
        <v>274</v>
      </c>
      <c r="D304" s="3">
        <v>1706615</v>
      </c>
      <c r="E304" s="3">
        <f t="shared" si="9"/>
        <v>1.706615</v>
      </c>
      <c r="F304" s="2">
        <v>2012</v>
      </c>
      <c r="G304" s="1">
        <v>6228.5</v>
      </c>
      <c r="H304" s="1">
        <v>65745</v>
      </c>
      <c r="M304" t="s">
        <v>402</v>
      </c>
      <c r="N304" t="s">
        <v>1589</v>
      </c>
    </row>
    <row r="305" spans="1:14" x14ac:dyDescent="0.25">
      <c r="A305" t="s">
        <v>403</v>
      </c>
      <c r="B305" t="str">
        <f t="shared" si="8"/>
        <v>p__Bacillota_A</v>
      </c>
      <c r="C305" s="1">
        <v>236</v>
      </c>
      <c r="D305" s="3">
        <v>1330281</v>
      </c>
      <c r="E305" s="3">
        <f t="shared" si="9"/>
        <v>1.330281</v>
      </c>
      <c r="F305" s="2">
        <v>2028</v>
      </c>
      <c r="G305" s="1">
        <v>5636.8</v>
      </c>
      <c r="H305" s="1">
        <v>32501</v>
      </c>
      <c r="M305" t="s">
        <v>403</v>
      </c>
      <c r="N305" t="s">
        <v>1589</v>
      </c>
    </row>
    <row r="306" spans="1:14" x14ac:dyDescent="0.25">
      <c r="A306" t="s">
        <v>404</v>
      </c>
      <c r="B306" t="str">
        <f t="shared" si="8"/>
        <v>p__Bacillota_A</v>
      </c>
      <c r="C306" s="1">
        <v>25</v>
      </c>
      <c r="D306" s="3">
        <v>1626194</v>
      </c>
      <c r="E306" s="3">
        <f t="shared" si="9"/>
        <v>1.6261939999999999</v>
      </c>
      <c r="F306" s="1">
        <v>10374</v>
      </c>
      <c r="G306" s="2">
        <v>65047.8</v>
      </c>
      <c r="H306" s="1">
        <v>266705</v>
      </c>
      <c r="M306" t="s">
        <v>404</v>
      </c>
      <c r="N306" t="s">
        <v>1589</v>
      </c>
    </row>
    <row r="307" spans="1:14" x14ac:dyDescent="0.25">
      <c r="A307" t="s">
        <v>405</v>
      </c>
      <c r="B307" t="str">
        <f t="shared" si="8"/>
        <v>p__Bacillota_A</v>
      </c>
      <c r="C307" s="1">
        <v>17</v>
      </c>
      <c r="D307" s="3">
        <v>2087625</v>
      </c>
      <c r="E307" s="3">
        <f t="shared" si="9"/>
        <v>2.0876250000000001</v>
      </c>
      <c r="F307" s="1">
        <v>8863</v>
      </c>
      <c r="G307" s="2">
        <v>122801.5</v>
      </c>
      <c r="H307" s="1">
        <v>422775</v>
      </c>
      <c r="M307" t="s">
        <v>405</v>
      </c>
      <c r="N307" t="s">
        <v>1589</v>
      </c>
    </row>
    <row r="308" spans="1:14" x14ac:dyDescent="0.25">
      <c r="A308" t="s">
        <v>710</v>
      </c>
      <c r="B308" t="str">
        <f t="shared" si="8"/>
        <v>p__Bacillota_A</v>
      </c>
      <c r="C308" s="1">
        <v>194</v>
      </c>
      <c r="D308" s="3">
        <v>2047533</v>
      </c>
      <c r="E308" s="3">
        <f t="shared" si="9"/>
        <v>2.047533</v>
      </c>
      <c r="F308" s="2">
        <v>2508</v>
      </c>
      <c r="G308" s="1">
        <v>10554.3</v>
      </c>
      <c r="H308" s="1">
        <v>41777</v>
      </c>
      <c r="M308" t="s">
        <v>710</v>
      </c>
      <c r="N308" t="s">
        <v>1589</v>
      </c>
    </row>
    <row r="309" spans="1:14" x14ac:dyDescent="0.25">
      <c r="A309" t="s">
        <v>711</v>
      </c>
      <c r="B309" t="str">
        <f t="shared" si="8"/>
        <v>p__Bacillota_A</v>
      </c>
      <c r="C309" s="1">
        <v>333</v>
      </c>
      <c r="D309" s="3">
        <v>2160504</v>
      </c>
      <c r="E309" s="3">
        <f t="shared" si="9"/>
        <v>2.160504</v>
      </c>
      <c r="F309" s="1">
        <v>2027</v>
      </c>
      <c r="G309" s="1">
        <v>6488</v>
      </c>
      <c r="H309" s="1">
        <v>36667</v>
      </c>
      <c r="M309" t="s">
        <v>711</v>
      </c>
      <c r="N309" t="s">
        <v>1589</v>
      </c>
    </row>
    <row r="310" spans="1:14" x14ac:dyDescent="0.25">
      <c r="A310" t="s">
        <v>712</v>
      </c>
      <c r="B310" t="str">
        <f t="shared" si="8"/>
        <v>p__Bacillota_A</v>
      </c>
      <c r="C310" s="1">
        <v>99</v>
      </c>
      <c r="D310" s="3">
        <v>1842348</v>
      </c>
      <c r="E310" s="3">
        <f t="shared" si="9"/>
        <v>1.8423480000000001</v>
      </c>
      <c r="F310" s="1">
        <v>2019</v>
      </c>
      <c r="G310" s="2">
        <v>18609.599999999999</v>
      </c>
      <c r="H310" s="1">
        <v>134393</v>
      </c>
      <c r="M310" t="s">
        <v>712</v>
      </c>
      <c r="N310" t="s">
        <v>1589</v>
      </c>
    </row>
    <row r="311" spans="1:14" x14ac:dyDescent="0.25">
      <c r="A311" t="s">
        <v>713</v>
      </c>
      <c r="B311" t="str">
        <f t="shared" si="8"/>
        <v>p__Bacillota_A</v>
      </c>
      <c r="C311" s="1">
        <v>52</v>
      </c>
      <c r="D311" s="3">
        <v>2747716</v>
      </c>
      <c r="E311" s="3">
        <f t="shared" si="9"/>
        <v>2.747716</v>
      </c>
      <c r="F311" s="1">
        <v>2113</v>
      </c>
      <c r="G311" s="2">
        <v>52840.7</v>
      </c>
      <c r="H311" s="1">
        <v>535639</v>
      </c>
      <c r="M311" t="s">
        <v>713</v>
      </c>
      <c r="N311" t="s">
        <v>1589</v>
      </c>
    </row>
    <row r="312" spans="1:14" x14ac:dyDescent="0.25">
      <c r="A312" t="s">
        <v>714</v>
      </c>
      <c r="B312" t="str">
        <f t="shared" si="8"/>
        <v>p__Bacillota_A</v>
      </c>
      <c r="C312" s="1">
        <v>105</v>
      </c>
      <c r="D312" s="3">
        <v>2271444</v>
      </c>
      <c r="E312" s="3">
        <f t="shared" si="9"/>
        <v>2.2714439999999998</v>
      </c>
      <c r="F312" s="2">
        <v>2044</v>
      </c>
      <c r="G312" s="1">
        <v>21632.799999999999</v>
      </c>
      <c r="H312" s="1">
        <v>342573</v>
      </c>
      <c r="M312" t="s">
        <v>714</v>
      </c>
      <c r="N312" t="s">
        <v>1589</v>
      </c>
    </row>
    <row r="313" spans="1:14" x14ac:dyDescent="0.25">
      <c r="A313" t="s">
        <v>715</v>
      </c>
      <c r="B313" t="str">
        <f t="shared" si="8"/>
        <v>p__Bacillota_A</v>
      </c>
      <c r="C313" s="1">
        <v>267</v>
      </c>
      <c r="D313" s="3">
        <v>2108483</v>
      </c>
      <c r="E313" s="3">
        <f t="shared" si="9"/>
        <v>2.1084830000000001</v>
      </c>
      <c r="F313" s="2">
        <v>2535</v>
      </c>
      <c r="G313" s="1">
        <v>7896.9</v>
      </c>
      <c r="H313" s="1">
        <v>50872</v>
      </c>
      <c r="M313" t="s">
        <v>715</v>
      </c>
      <c r="N313" t="s">
        <v>1589</v>
      </c>
    </row>
    <row r="314" spans="1:14" x14ac:dyDescent="0.25">
      <c r="A314" t="s">
        <v>716</v>
      </c>
      <c r="B314" t="str">
        <f t="shared" si="8"/>
        <v>p__Bacillota_A</v>
      </c>
      <c r="C314" s="1">
        <v>150</v>
      </c>
      <c r="D314" s="3">
        <v>2535306</v>
      </c>
      <c r="E314" s="3">
        <f t="shared" si="9"/>
        <v>2.5353059999999998</v>
      </c>
      <c r="F314" s="1">
        <v>2016</v>
      </c>
      <c r="G314" s="1">
        <v>16902</v>
      </c>
      <c r="H314" s="1">
        <v>178866</v>
      </c>
      <c r="M314" t="s">
        <v>716</v>
      </c>
      <c r="N314" t="s">
        <v>1589</v>
      </c>
    </row>
    <row r="315" spans="1:14" x14ac:dyDescent="0.25">
      <c r="A315" t="s">
        <v>717</v>
      </c>
      <c r="B315" t="str">
        <f t="shared" si="8"/>
        <v>p__Bacillota_A</v>
      </c>
      <c r="C315" s="1">
        <v>27</v>
      </c>
      <c r="D315" s="3">
        <v>2508734</v>
      </c>
      <c r="E315" s="3">
        <f t="shared" si="9"/>
        <v>2.508734</v>
      </c>
      <c r="F315" s="1">
        <v>2014</v>
      </c>
      <c r="G315" s="2">
        <v>92916.1</v>
      </c>
      <c r="H315" s="1">
        <v>415999</v>
      </c>
      <c r="M315" t="s">
        <v>717</v>
      </c>
      <c r="N315" t="s">
        <v>1589</v>
      </c>
    </row>
    <row r="316" spans="1:14" x14ac:dyDescent="0.25">
      <c r="A316" t="s">
        <v>718</v>
      </c>
      <c r="B316" t="str">
        <f t="shared" si="8"/>
        <v>p__Bacillota_A</v>
      </c>
      <c r="C316" s="1">
        <v>106</v>
      </c>
      <c r="D316" s="3">
        <v>4074245</v>
      </c>
      <c r="E316" s="3">
        <f t="shared" si="9"/>
        <v>4.0742450000000003</v>
      </c>
      <c r="F316" s="2">
        <v>2023</v>
      </c>
      <c r="G316" s="1">
        <v>38436.300000000003</v>
      </c>
      <c r="H316" s="1">
        <v>220503</v>
      </c>
      <c r="M316" t="s">
        <v>718</v>
      </c>
      <c r="N316" t="s">
        <v>1589</v>
      </c>
    </row>
    <row r="317" spans="1:14" x14ac:dyDescent="0.25">
      <c r="A317" t="s">
        <v>719</v>
      </c>
      <c r="B317" t="str">
        <f t="shared" si="8"/>
        <v>p__Bacillota_A</v>
      </c>
      <c r="C317" s="1">
        <v>44</v>
      </c>
      <c r="D317" s="3">
        <v>1814120</v>
      </c>
      <c r="E317" s="3">
        <f t="shared" si="9"/>
        <v>1.81412</v>
      </c>
      <c r="F317" s="1">
        <v>4362</v>
      </c>
      <c r="G317" s="1">
        <v>41230</v>
      </c>
      <c r="H317" s="1">
        <v>116735</v>
      </c>
      <c r="M317" t="s">
        <v>719</v>
      </c>
      <c r="N317" t="s">
        <v>1589</v>
      </c>
    </row>
    <row r="318" spans="1:14" x14ac:dyDescent="0.25">
      <c r="A318" t="s">
        <v>720</v>
      </c>
      <c r="B318" t="str">
        <f t="shared" si="8"/>
        <v>p__Bacillota_A</v>
      </c>
      <c r="C318" s="1">
        <v>97</v>
      </c>
      <c r="D318" s="3">
        <v>2756924</v>
      </c>
      <c r="E318" s="3">
        <f t="shared" si="9"/>
        <v>2.7569240000000002</v>
      </c>
      <c r="F318" s="1">
        <v>3082</v>
      </c>
      <c r="G318" s="2">
        <v>28421.9</v>
      </c>
      <c r="H318" s="1">
        <v>122856</v>
      </c>
      <c r="M318" t="s">
        <v>720</v>
      </c>
      <c r="N318" t="s">
        <v>1589</v>
      </c>
    </row>
    <row r="319" spans="1:14" x14ac:dyDescent="0.25">
      <c r="A319" t="s">
        <v>721</v>
      </c>
      <c r="B319" t="str">
        <f t="shared" si="8"/>
        <v>p__Bacillota_A</v>
      </c>
      <c r="C319" s="1">
        <v>35</v>
      </c>
      <c r="D319" s="3">
        <v>1429652</v>
      </c>
      <c r="E319" s="3">
        <f t="shared" si="9"/>
        <v>1.4296519999999999</v>
      </c>
      <c r="F319" s="1">
        <v>7182</v>
      </c>
      <c r="G319" s="2">
        <v>40847.199999999997</v>
      </c>
      <c r="H319" s="1">
        <v>140058</v>
      </c>
      <c r="M319" t="s">
        <v>721</v>
      </c>
      <c r="N319" t="s">
        <v>1589</v>
      </c>
    </row>
    <row r="320" spans="1:14" x14ac:dyDescent="0.25">
      <c r="A320" t="s">
        <v>722</v>
      </c>
      <c r="B320" t="str">
        <f t="shared" si="8"/>
        <v>p__Bacillota_A</v>
      </c>
      <c r="C320" s="1">
        <v>59</v>
      </c>
      <c r="D320" s="3">
        <v>1798873</v>
      </c>
      <c r="E320" s="3">
        <f t="shared" si="9"/>
        <v>1.7988729999999999</v>
      </c>
      <c r="F320" s="1">
        <v>2323</v>
      </c>
      <c r="G320" s="2">
        <v>30489.4</v>
      </c>
      <c r="H320" s="1">
        <v>179386</v>
      </c>
      <c r="M320" t="s">
        <v>722</v>
      </c>
      <c r="N320" t="s">
        <v>1589</v>
      </c>
    </row>
    <row r="321" spans="1:14" x14ac:dyDescent="0.25">
      <c r="A321" t="s">
        <v>723</v>
      </c>
      <c r="B321" t="str">
        <f t="shared" si="8"/>
        <v>p__Bacillota_A</v>
      </c>
      <c r="C321" s="1">
        <v>33</v>
      </c>
      <c r="D321" s="3">
        <v>1773491</v>
      </c>
      <c r="E321" s="3">
        <f t="shared" si="9"/>
        <v>1.7734909999999999</v>
      </c>
      <c r="F321" s="1">
        <v>4345</v>
      </c>
      <c r="G321" s="2">
        <v>53742.2</v>
      </c>
      <c r="H321" s="1">
        <v>220804</v>
      </c>
      <c r="M321" t="s">
        <v>723</v>
      </c>
      <c r="N321" t="s">
        <v>1589</v>
      </c>
    </row>
    <row r="322" spans="1:14" x14ac:dyDescent="0.25">
      <c r="A322" t="s">
        <v>724</v>
      </c>
      <c r="B322" t="str">
        <f t="shared" ref="B322:B385" si="10">VLOOKUP(A322,M:N,2,FALSE)</f>
        <v>p__Bacillota_A</v>
      </c>
      <c r="C322" s="1">
        <v>50</v>
      </c>
      <c r="D322" s="3">
        <v>1711274</v>
      </c>
      <c r="E322" s="3">
        <f t="shared" ref="E322:E385" si="11">D322/1000000</f>
        <v>1.711274</v>
      </c>
      <c r="F322" s="1">
        <v>5298</v>
      </c>
      <c r="G322" s="2">
        <v>34225.5</v>
      </c>
      <c r="H322" s="1">
        <v>104879</v>
      </c>
      <c r="M322" t="s">
        <v>724</v>
      </c>
      <c r="N322" t="s">
        <v>1589</v>
      </c>
    </row>
    <row r="323" spans="1:14" x14ac:dyDescent="0.25">
      <c r="A323" t="s">
        <v>725</v>
      </c>
      <c r="B323" t="str">
        <f t="shared" si="10"/>
        <v>p__Bacillota_A</v>
      </c>
      <c r="C323" s="1">
        <v>49</v>
      </c>
      <c r="D323" s="3">
        <v>1134846</v>
      </c>
      <c r="E323" s="3">
        <f t="shared" si="11"/>
        <v>1.134846</v>
      </c>
      <c r="F323" s="1">
        <v>2677</v>
      </c>
      <c r="G323" s="2">
        <v>23160.1</v>
      </c>
      <c r="H323" s="1">
        <v>90541</v>
      </c>
      <c r="M323" t="s">
        <v>725</v>
      </c>
      <c r="N323" t="s">
        <v>1589</v>
      </c>
    </row>
    <row r="324" spans="1:14" x14ac:dyDescent="0.25">
      <c r="A324" t="s">
        <v>726</v>
      </c>
      <c r="B324" t="str">
        <f t="shared" si="10"/>
        <v>p__Bacillota_A</v>
      </c>
      <c r="C324" s="1">
        <v>33</v>
      </c>
      <c r="D324" s="3">
        <v>1632695</v>
      </c>
      <c r="E324" s="3">
        <f t="shared" si="11"/>
        <v>1.632695</v>
      </c>
      <c r="F324" s="1">
        <v>2018</v>
      </c>
      <c r="G324" s="2">
        <v>49475.6</v>
      </c>
      <c r="H324" s="1">
        <v>273752</v>
      </c>
      <c r="M324" t="s">
        <v>726</v>
      </c>
      <c r="N324" t="s">
        <v>1589</v>
      </c>
    </row>
    <row r="325" spans="1:14" x14ac:dyDescent="0.25">
      <c r="A325" t="s">
        <v>727</v>
      </c>
      <c r="B325" t="str">
        <f t="shared" si="10"/>
        <v>p__Bacillota_A</v>
      </c>
      <c r="C325" s="1">
        <v>2</v>
      </c>
      <c r="D325" s="3">
        <v>2192340</v>
      </c>
      <c r="E325" s="3">
        <f t="shared" si="11"/>
        <v>2.1923400000000002</v>
      </c>
      <c r="F325" s="1">
        <v>299669</v>
      </c>
      <c r="G325" s="1">
        <v>1096170</v>
      </c>
      <c r="H325" s="1">
        <v>1892671</v>
      </c>
      <c r="M325" t="s">
        <v>727</v>
      </c>
      <c r="N325" t="s">
        <v>1589</v>
      </c>
    </row>
    <row r="326" spans="1:14" x14ac:dyDescent="0.25">
      <c r="A326" t="s">
        <v>728</v>
      </c>
      <c r="B326" t="str">
        <f t="shared" si="10"/>
        <v>p__Bacillota_A</v>
      </c>
      <c r="C326" s="1">
        <v>4</v>
      </c>
      <c r="D326" s="3">
        <v>2102299</v>
      </c>
      <c r="E326" s="3">
        <f t="shared" si="11"/>
        <v>2.1022989999999999</v>
      </c>
      <c r="F326" s="1">
        <v>131275</v>
      </c>
      <c r="G326" s="2">
        <v>525574.80000000005</v>
      </c>
      <c r="H326" s="1">
        <v>792136</v>
      </c>
      <c r="M326" t="s">
        <v>728</v>
      </c>
      <c r="N326" t="s">
        <v>1589</v>
      </c>
    </row>
    <row r="327" spans="1:14" x14ac:dyDescent="0.25">
      <c r="A327" t="s">
        <v>729</v>
      </c>
      <c r="B327" t="str">
        <f t="shared" si="10"/>
        <v>p__Bacillota_A</v>
      </c>
      <c r="C327" s="1">
        <v>98</v>
      </c>
      <c r="D327" s="3">
        <v>1630634</v>
      </c>
      <c r="E327" s="3">
        <f t="shared" si="11"/>
        <v>1.6306339999999999</v>
      </c>
      <c r="F327" s="1">
        <v>2036</v>
      </c>
      <c r="G327" s="2">
        <v>16639.099999999999</v>
      </c>
      <c r="H327" s="1">
        <v>175792</v>
      </c>
      <c r="M327" t="s">
        <v>729</v>
      </c>
      <c r="N327" t="s">
        <v>1589</v>
      </c>
    </row>
    <row r="328" spans="1:14" x14ac:dyDescent="0.25">
      <c r="A328" t="s">
        <v>730</v>
      </c>
      <c r="B328" t="str">
        <f t="shared" si="10"/>
        <v>p__Bacillota_A</v>
      </c>
      <c r="C328" s="1">
        <v>29</v>
      </c>
      <c r="D328" s="3">
        <v>1799226</v>
      </c>
      <c r="E328" s="3">
        <f t="shared" si="11"/>
        <v>1.799226</v>
      </c>
      <c r="F328" s="1">
        <v>6039</v>
      </c>
      <c r="G328" s="2">
        <v>62042.3</v>
      </c>
      <c r="H328" s="1">
        <v>582890</v>
      </c>
      <c r="M328" t="s">
        <v>730</v>
      </c>
      <c r="N328" t="s">
        <v>1589</v>
      </c>
    </row>
    <row r="329" spans="1:14" x14ac:dyDescent="0.25">
      <c r="A329" t="s">
        <v>731</v>
      </c>
      <c r="B329" t="str">
        <f t="shared" si="10"/>
        <v>p__Bacillota_A</v>
      </c>
      <c r="C329" s="1">
        <v>12</v>
      </c>
      <c r="D329" s="3">
        <v>1419540</v>
      </c>
      <c r="E329" s="3">
        <f t="shared" si="11"/>
        <v>1.41954</v>
      </c>
      <c r="F329" s="1">
        <v>5712</v>
      </c>
      <c r="G329" s="1">
        <v>118295</v>
      </c>
      <c r="H329" s="1">
        <v>459811</v>
      </c>
      <c r="M329" t="s">
        <v>731</v>
      </c>
      <c r="N329" t="s">
        <v>1589</v>
      </c>
    </row>
    <row r="330" spans="1:14" x14ac:dyDescent="0.25">
      <c r="A330" t="s">
        <v>732</v>
      </c>
      <c r="B330" t="str">
        <f t="shared" si="10"/>
        <v>p__Bacillota_A</v>
      </c>
      <c r="C330" s="1">
        <v>63</v>
      </c>
      <c r="D330" s="3">
        <v>1703429</v>
      </c>
      <c r="E330" s="3">
        <f t="shared" si="11"/>
        <v>1.7034290000000001</v>
      </c>
      <c r="F330" s="1">
        <v>2008</v>
      </c>
      <c r="G330" s="2">
        <v>27038.6</v>
      </c>
      <c r="H330" s="1">
        <v>167284</v>
      </c>
      <c r="M330" t="s">
        <v>732</v>
      </c>
      <c r="N330" t="s">
        <v>1589</v>
      </c>
    </row>
    <row r="331" spans="1:14" x14ac:dyDescent="0.25">
      <c r="A331" t="s">
        <v>733</v>
      </c>
      <c r="B331" t="str">
        <f t="shared" si="10"/>
        <v>p__Bacillota_A</v>
      </c>
      <c r="C331" s="1">
        <v>74</v>
      </c>
      <c r="D331" s="3">
        <v>1064088</v>
      </c>
      <c r="E331" s="3">
        <f t="shared" si="11"/>
        <v>1.0640879999999999</v>
      </c>
      <c r="F331" s="1">
        <v>2073</v>
      </c>
      <c r="G331" s="2">
        <v>14379.6</v>
      </c>
      <c r="H331" s="1">
        <v>109402</v>
      </c>
      <c r="M331" t="s">
        <v>733</v>
      </c>
      <c r="N331" t="s">
        <v>1589</v>
      </c>
    </row>
    <row r="332" spans="1:14" x14ac:dyDescent="0.25">
      <c r="A332" t="s">
        <v>734</v>
      </c>
      <c r="B332" t="str">
        <f t="shared" si="10"/>
        <v>p__Bacillota_A</v>
      </c>
      <c r="C332" s="1">
        <v>51</v>
      </c>
      <c r="D332" s="3">
        <v>1178067</v>
      </c>
      <c r="E332" s="3">
        <f t="shared" si="11"/>
        <v>1.178067</v>
      </c>
      <c r="F332" s="1">
        <v>2027</v>
      </c>
      <c r="G332" s="2">
        <v>23099.4</v>
      </c>
      <c r="H332" s="1">
        <v>133061</v>
      </c>
      <c r="M332" t="s">
        <v>734</v>
      </c>
      <c r="N332" t="s">
        <v>1589</v>
      </c>
    </row>
    <row r="333" spans="1:14" x14ac:dyDescent="0.25">
      <c r="A333" t="s">
        <v>735</v>
      </c>
      <c r="B333" t="str">
        <f t="shared" si="10"/>
        <v>p__Bacillota_A</v>
      </c>
      <c r="C333" s="1">
        <v>223</v>
      </c>
      <c r="D333" s="3">
        <v>1482160</v>
      </c>
      <c r="E333" s="3">
        <f t="shared" si="11"/>
        <v>1.4821599999999999</v>
      </c>
      <c r="F333" s="2">
        <v>2018</v>
      </c>
      <c r="G333" s="1">
        <v>6646.5</v>
      </c>
      <c r="H333" s="1">
        <v>33201</v>
      </c>
      <c r="M333" t="s">
        <v>735</v>
      </c>
      <c r="N333" t="s">
        <v>1589</v>
      </c>
    </row>
    <row r="334" spans="1:14" x14ac:dyDescent="0.25">
      <c r="A334" t="s">
        <v>736</v>
      </c>
      <c r="B334" t="str">
        <f t="shared" si="10"/>
        <v>p__Bacillota_A</v>
      </c>
      <c r="C334" s="1">
        <v>373</v>
      </c>
      <c r="D334" s="3">
        <v>2071211</v>
      </c>
      <c r="E334" s="3">
        <f t="shared" si="11"/>
        <v>2.0712109999999999</v>
      </c>
      <c r="F334" s="2">
        <v>2002</v>
      </c>
      <c r="G334" s="1">
        <v>5552.8</v>
      </c>
      <c r="H334" s="1">
        <v>34270</v>
      </c>
      <c r="M334" t="s">
        <v>736</v>
      </c>
      <c r="N334" t="s">
        <v>1589</v>
      </c>
    </row>
    <row r="335" spans="1:14" x14ac:dyDescent="0.25">
      <c r="A335" t="s">
        <v>737</v>
      </c>
      <c r="B335" t="str">
        <f t="shared" si="10"/>
        <v>p__Bacillota_A</v>
      </c>
      <c r="C335" s="1">
        <v>34</v>
      </c>
      <c r="D335" s="3">
        <v>2004374</v>
      </c>
      <c r="E335" s="3">
        <f t="shared" si="11"/>
        <v>2.0043739999999999</v>
      </c>
      <c r="F335" s="1">
        <v>4276</v>
      </c>
      <c r="G335" s="2">
        <v>58952.2</v>
      </c>
      <c r="H335" s="1">
        <v>292670</v>
      </c>
      <c r="M335" t="s">
        <v>737</v>
      </c>
      <c r="N335" t="s">
        <v>1589</v>
      </c>
    </row>
    <row r="336" spans="1:14" x14ac:dyDescent="0.25">
      <c r="A336" t="s">
        <v>738</v>
      </c>
      <c r="B336" t="str">
        <f t="shared" si="10"/>
        <v>p__Bacillota_A</v>
      </c>
      <c r="C336" s="1">
        <v>44</v>
      </c>
      <c r="D336" s="3">
        <v>2580474</v>
      </c>
      <c r="E336" s="3">
        <f t="shared" si="11"/>
        <v>2.5804740000000002</v>
      </c>
      <c r="F336" s="1">
        <v>4972</v>
      </c>
      <c r="G336" s="2">
        <v>58647.1</v>
      </c>
      <c r="H336" s="1">
        <v>300396</v>
      </c>
      <c r="M336" t="s">
        <v>738</v>
      </c>
      <c r="N336" t="s">
        <v>1589</v>
      </c>
    </row>
    <row r="337" spans="1:14" x14ac:dyDescent="0.25">
      <c r="A337" t="s">
        <v>739</v>
      </c>
      <c r="B337" t="str">
        <f t="shared" si="10"/>
        <v>p__Bacillota_A</v>
      </c>
      <c r="C337" s="1">
        <v>408</v>
      </c>
      <c r="D337" s="3">
        <v>2228139</v>
      </c>
      <c r="E337" s="3">
        <f t="shared" si="11"/>
        <v>2.2281390000000001</v>
      </c>
      <c r="F337" s="2">
        <v>2006</v>
      </c>
      <c r="G337" s="1">
        <v>5461.1</v>
      </c>
      <c r="H337" s="1">
        <v>67607</v>
      </c>
      <c r="M337" t="s">
        <v>739</v>
      </c>
      <c r="N337" t="s">
        <v>1589</v>
      </c>
    </row>
    <row r="338" spans="1:14" x14ac:dyDescent="0.25">
      <c r="A338" t="s">
        <v>740</v>
      </c>
      <c r="B338" t="str">
        <f t="shared" si="10"/>
        <v>p__Bacillota_A</v>
      </c>
      <c r="C338" s="1">
        <v>48</v>
      </c>
      <c r="D338" s="3">
        <v>1145562</v>
      </c>
      <c r="E338" s="3">
        <f t="shared" si="11"/>
        <v>1.145562</v>
      </c>
      <c r="F338" s="1">
        <v>2741</v>
      </c>
      <c r="G338" s="2">
        <v>23865.9</v>
      </c>
      <c r="H338" s="1">
        <v>102714</v>
      </c>
      <c r="M338" t="s">
        <v>740</v>
      </c>
      <c r="N338" t="s">
        <v>1589</v>
      </c>
    </row>
    <row r="339" spans="1:14" x14ac:dyDescent="0.25">
      <c r="A339" t="s">
        <v>741</v>
      </c>
      <c r="B339" t="str">
        <f t="shared" si="10"/>
        <v>p__Bacillota_A</v>
      </c>
      <c r="C339" s="1">
        <v>333</v>
      </c>
      <c r="D339" s="3">
        <v>1413429</v>
      </c>
      <c r="E339" s="3">
        <f t="shared" si="11"/>
        <v>1.413429</v>
      </c>
      <c r="F339" s="2">
        <v>2009</v>
      </c>
      <c r="G339" s="1">
        <v>4244.5</v>
      </c>
      <c r="H339" s="1">
        <v>32363</v>
      </c>
      <c r="M339" t="s">
        <v>741</v>
      </c>
      <c r="N339" t="s">
        <v>1589</v>
      </c>
    </row>
    <row r="340" spans="1:14" x14ac:dyDescent="0.25">
      <c r="A340" t="s">
        <v>742</v>
      </c>
      <c r="B340" t="str">
        <f t="shared" si="10"/>
        <v>p__Bacillota_A</v>
      </c>
      <c r="C340" s="1">
        <v>43</v>
      </c>
      <c r="D340" s="3">
        <v>2772337</v>
      </c>
      <c r="E340" s="3">
        <f t="shared" si="11"/>
        <v>2.7723369999999998</v>
      </c>
      <c r="F340" s="1">
        <v>2059</v>
      </c>
      <c r="G340" s="1">
        <v>64473</v>
      </c>
      <c r="H340" s="1">
        <v>384742</v>
      </c>
      <c r="M340" t="s">
        <v>742</v>
      </c>
      <c r="N340" t="s">
        <v>1589</v>
      </c>
    </row>
    <row r="341" spans="1:14" x14ac:dyDescent="0.25">
      <c r="A341" t="s">
        <v>743</v>
      </c>
      <c r="B341" t="str">
        <f t="shared" si="10"/>
        <v>p__Bacillota_A</v>
      </c>
      <c r="C341" s="1">
        <v>115</v>
      </c>
      <c r="D341" s="3">
        <v>2068621</v>
      </c>
      <c r="E341" s="3">
        <f t="shared" si="11"/>
        <v>2.0686209999999998</v>
      </c>
      <c r="F341" s="1">
        <v>2004</v>
      </c>
      <c r="G341" s="1">
        <v>17988</v>
      </c>
      <c r="H341" s="1">
        <v>163645</v>
      </c>
      <c r="M341" t="s">
        <v>743</v>
      </c>
      <c r="N341" t="s">
        <v>1589</v>
      </c>
    </row>
    <row r="342" spans="1:14" x14ac:dyDescent="0.25">
      <c r="A342" t="s">
        <v>744</v>
      </c>
      <c r="B342" t="str">
        <f t="shared" si="10"/>
        <v>p__Bacillota_A</v>
      </c>
      <c r="C342" s="1">
        <v>504</v>
      </c>
      <c r="D342" s="3">
        <v>2981464</v>
      </c>
      <c r="E342" s="3">
        <f t="shared" si="11"/>
        <v>2.9814639999999999</v>
      </c>
      <c r="F342" s="2">
        <v>2000</v>
      </c>
      <c r="G342" s="1">
        <v>5915.6</v>
      </c>
      <c r="H342" s="1">
        <v>105532</v>
      </c>
      <c r="M342" t="s">
        <v>744</v>
      </c>
      <c r="N342" t="s">
        <v>1589</v>
      </c>
    </row>
    <row r="343" spans="1:14" x14ac:dyDescent="0.25">
      <c r="A343" t="s">
        <v>745</v>
      </c>
      <c r="B343" t="str">
        <f t="shared" si="10"/>
        <v>p__Bacillota_A</v>
      </c>
      <c r="C343" s="1">
        <v>72</v>
      </c>
      <c r="D343" s="3">
        <v>6274481</v>
      </c>
      <c r="E343" s="3">
        <f t="shared" si="11"/>
        <v>6.2744809999999998</v>
      </c>
      <c r="F343" s="1">
        <v>7115</v>
      </c>
      <c r="G343" s="2">
        <v>87145.600000000006</v>
      </c>
      <c r="H343" s="1">
        <v>384672</v>
      </c>
      <c r="M343" t="s">
        <v>745</v>
      </c>
      <c r="N343" t="s">
        <v>1589</v>
      </c>
    </row>
    <row r="344" spans="1:14" x14ac:dyDescent="0.25">
      <c r="A344" t="s">
        <v>746</v>
      </c>
      <c r="B344" t="str">
        <f t="shared" si="10"/>
        <v>p__Bacillota_A</v>
      </c>
      <c r="C344" s="1">
        <v>9</v>
      </c>
      <c r="D344" s="3">
        <v>5351204</v>
      </c>
      <c r="E344" s="3">
        <f t="shared" si="11"/>
        <v>5.3512040000000001</v>
      </c>
      <c r="F344" s="1">
        <v>47378</v>
      </c>
      <c r="G344" s="2">
        <v>594578.19999999995</v>
      </c>
      <c r="H344" s="1">
        <v>1915584</v>
      </c>
      <c r="M344" t="s">
        <v>746</v>
      </c>
      <c r="N344" t="s">
        <v>1589</v>
      </c>
    </row>
    <row r="345" spans="1:14" x14ac:dyDescent="0.25">
      <c r="A345" t="s">
        <v>747</v>
      </c>
      <c r="B345" t="str">
        <f t="shared" si="10"/>
        <v>p__Bacillota_A</v>
      </c>
      <c r="C345" s="1">
        <v>12</v>
      </c>
      <c r="D345" s="3">
        <v>3631430</v>
      </c>
      <c r="E345" s="3">
        <f t="shared" si="11"/>
        <v>3.6314299999999999</v>
      </c>
      <c r="F345" s="1">
        <v>9383</v>
      </c>
      <c r="G345" s="2">
        <v>302619.2</v>
      </c>
      <c r="H345" s="1">
        <v>781674</v>
      </c>
      <c r="M345" t="s">
        <v>747</v>
      </c>
      <c r="N345" t="s">
        <v>1589</v>
      </c>
    </row>
    <row r="346" spans="1:14" x14ac:dyDescent="0.25">
      <c r="A346" t="s">
        <v>748</v>
      </c>
      <c r="B346" t="str">
        <f t="shared" si="10"/>
        <v>p__Bacillota_A</v>
      </c>
      <c r="C346" s="1">
        <v>19</v>
      </c>
      <c r="D346" s="3">
        <v>3221039</v>
      </c>
      <c r="E346" s="3">
        <f t="shared" si="11"/>
        <v>3.2210390000000002</v>
      </c>
      <c r="F346" s="1">
        <v>12042</v>
      </c>
      <c r="G346" s="2">
        <v>169528.4</v>
      </c>
      <c r="H346" s="1">
        <v>639419</v>
      </c>
      <c r="M346" t="s">
        <v>748</v>
      </c>
      <c r="N346" t="s">
        <v>1589</v>
      </c>
    </row>
    <row r="347" spans="1:14" x14ac:dyDescent="0.25">
      <c r="A347" t="s">
        <v>749</v>
      </c>
      <c r="B347" t="str">
        <f t="shared" si="10"/>
        <v>p__Bacillota_A</v>
      </c>
      <c r="C347" s="1">
        <v>18</v>
      </c>
      <c r="D347" s="3">
        <v>2632433</v>
      </c>
      <c r="E347" s="3">
        <f t="shared" si="11"/>
        <v>2.6324329999999998</v>
      </c>
      <c r="F347" s="1">
        <v>16583</v>
      </c>
      <c r="G347" s="2">
        <v>146246.29999999999</v>
      </c>
      <c r="H347" s="1">
        <v>424430</v>
      </c>
      <c r="M347" t="s">
        <v>749</v>
      </c>
      <c r="N347" t="s">
        <v>1589</v>
      </c>
    </row>
    <row r="348" spans="1:14" x14ac:dyDescent="0.25">
      <c r="A348" t="s">
        <v>750</v>
      </c>
      <c r="B348" t="str">
        <f t="shared" si="10"/>
        <v>p__Bacillota_A</v>
      </c>
      <c r="C348" s="1">
        <v>62</v>
      </c>
      <c r="D348" s="3">
        <v>3641703</v>
      </c>
      <c r="E348" s="3">
        <f t="shared" si="11"/>
        <v>3.6417030000000001</v>
      </c>
      <c r="F348" s="1">
        <v>3126</v>
      </c>
      <c r="G348" s="2">
        <v>58737.1</v>
      </c>
      <c r="H348" s="1">
        <v>188642</v>
      </c>
      <c r="M348" t="s">
        <v>750</v>
      </c>
      <c r="N348" t="s">
        <v>1589</v>
      </c>
    </row>
    <row r="349" spans="1:14" x14ac:dyDescent="0.25">
      <c r="A349" t="s">
        <v>751</v>
      </c>
      <c r="B349" t="str">
        <f t="shared" si="10"/>
        <v>p__Bacillota_A</v>
      </c>
      <c r="C349" s="1">
        <v>26</v>
      </c>
      <c r="D349" s="3">
        <v>2381023</v>
      </c>
      <c r="E349" s="3">
        <f t="shared" si="11"/>
        <v>2.3810229999999999</v>
      </c>
      <c r="F349" s="1">
        <v>6015</v>
      </c>
      <c r="G349" s="2">
        <v>91577.8</v>
      </c>
      <c r="H349" s="1">
        <v>300871</v>
      </c>
      <c r="M349" t="s">
        <v>751</v>
      </c>
      <c r="N349" t="s">
        <v>1589</v>
      </c>
    </row>
    <row r="350" spans="1:14" x14ac:dyDescent="0.25">
      <c r="A350" t="s">
        <v>752</v>
      </c>
      <c r="B350" t="str">
        <f t="shared" si="10"/>
        <v>p__Bacillota_A</v>
      </c>
      <c r="C350" s="1">
        <v>29</v>
      </c>
      <c r="D350" s="3">
        <v>1757452</v>
      </c>
      <c r="E350" s="3">
        <f t="shared" si="11"/>
        <v>1.757452</v>
      </c>
      <c r="F350" s="1">
        <v>3876</v>
      </c>
      <c r="G350" s="2">
        <v>60601.8</v>
      </c>
      <c r="H350" s="1">
        <v>265882</v>
      </c>
      <c r="M350" t="s">
        <v>752</v>
      </c>
      <c r="N350" t="s">
        <v>1589</v>
      </c>
    </row>
    <row r="351" spans="1:14" x14ac:dyDescent="0.25">
      <c r="A351" t="s">
        <v>753</v>
      </c>
      <c r="B351" t="str">
        <f t="shared" si="10"/>
        <v>p__Bacillota_A</v>
      </c>
      <c r="C351" s="1">
        <v>17</v>
      </c>
      <c r="D351" s="3">
        <v>2722163</v>
      </c>
      <c r="E351" s="3">
        <f t="shared" si="11"/>
        <v>2.7221630000000001</v>
      </c>
      <c r="F351" s="1">
        <v>2024</v>
      </c>
      <c r="G351" s="2">
        <v>160127.20000000001</v>
      </c>
      <c r="H351" s="1">
        <v>1044259</v>
      </c>
      <c r="M351" t="s">
        <v>753</v>
      </c>
      <c r="N351" t="s">
        <v>1589</v>
      </c>
    </row>
    <row r="352" spans="1:14" x14ac:dyDescent="0.25">
      <c r="A352" t="s">
        <v>754</v>
      </c>
      <c r="B352" t="str">
        <f t="shared" si="10"/>
        <v>p__Bacillota_A</v>
      </c>
      <c r="C352" s="1">
        <v>34</v>
      </c>
      <c r="D352" s="3">
        <v>2999858</v>
      </c>
      <c r="E352" s="3">
        <f t="shared" si="11"/>
        <v>2.9998580000000001</v>
      </c>
      <c r="F352" s="1">
        <v>2035</v>
      </c>
      <c r="G352" s="2">
        <v>88231.1</v>
      </c>
      <c r="H352" s="1">
        <v>779679</v>
      </c>
      <c r="M352" t="s">
        <v>754</v>
      </c>
      <c r="N352" t="s">
        <v>1589</v>
      </c>
    </row>
    <row r="353" spans="1:14" x14ac:dyDescent="0.25">
      <c r="A353" t="s">
        <v>755</v>
      </c>
      <c r="B353" t="str">
        <f t="shared" si="10"/>
        <v>p__Bacillota_A</v>
      </c>
      <c r="C353" s="1">
        <v>307</v>
      </c>
      <c r="D353" s="3">
        <v>2613851</v>
      </c>
      <c r="E353" s="3">
        <f t="shared" si="11"/>
        <v>2.6138509999999999</v>
      </c>
      <c r="F353" s="2">
        <v>2001</v>
      </c>
      <c r="G353" s="1">
        <v>8514.2000000000007</v>
      </c>
      <c r="H353" s="1">
        <v>146813</v>
      </c>
      <c r="M353" t="s">
        <v>755</v>
      </c>
      <c r="N353" t="s">
        <v>1589</v>
      </c>
    </row>
    <row r="354" spans="1:14" x14ac:dyDescent="0.25">
      <c r="A354" t="s">
        <v>756</v>
      </c>
      <c r="B354" t="str">
        <f t="shared" si="10"/>
        <v>p__Bacillota_A</v>
      </c>
      <c r="C354" s="1">
        <v>59</v>
      </c>
      <c r="D354" s="3">
        <v>5319269</v>
      </c>
      <c r="E354" s="3">
        <f t="shared" si="11"/>
        <v>5.3192690000000002</v>
      </c>
      <c r="F354" s="1">
        <v>2072</v>
      </c>
      <c r="G354" s="2">
        <v>90157.1</v>
      </c>
      <c r="H354" s="1">
        <v>407843</v>
      </c>
      <c r="M354" t="s">
        <v>756</v>
      </c>
      <c r="N354" t="s">
        <v>1589</v>
      </c>
    </row>
    <row r="355" spans="1:14" x14ac:dyDescent="0.25">
      <c r="A355" t="s">
        <v>757</v>
      </c>
      <c r="B355" t="str">
        <f t="shared" si="10"/>
        <v>p__Bacillota_A</v>
      </c>
      <c r="C355" s="1">
        <v>136</v>
      </c>
      <c r="D355" s="3">
        <v>6488406</v>
      </c>
      <c r="E355" s="3">
        <f t="shared" si="11"/>
        <v>6.4884060000000003</v>
      </c>
      <c r="F355" s="2">
        <v>6789</v>
      </c>
      <c r="G355" s="1">
        <v>47708.9</v>
      </c>
      <c r="H355" s="1">
        <v>244539</v>
      </c>
      <c r="M355" t="s">
        <v>757</v>
      </c>
      <c r="N355" t="s">
        <v>1589</v>
      </c>
    </row>
    <row r="356" spans="1:14" x14ac:dyDescent="0.25">
      <c r="A356" t="s">
        <v>758</v>
      </c>
      <c r="B356" t="str">
        <f t="shared" si="10"/>
        <v>p__Bacillota_A</v>
      </c>
      <c r="C356" s="1">
        <v>39</v>
      </c>
      <c r="D356" s="3">
        <v>4240641</v>
      </c>
      <c r="E356" s="3">
        <f t="shared" si="11"/>
        <v>4.2406410000000001</v>
      </c>
      <c r="F356" s="1">
        <v>2712</v>
      </c>
      <c r="G356" s="2">
        <v>108734.39999999999</v>
      </c>
      <c r="H356" s="1">
        <v>805782</v>
      </c>
      <c r="M356" t="s">
        <v>758</v>
      </c>
      <c r="N356" t="s">
        <v>1589</v>
      </c>
    </row>
    <row r="357" spans="1:14" x14ac:dyDescent="0.25">
      <c r="A357" t="s">
        <v>759</v>
      </c>
      <c r="B357" t="str">
        <f t="shared" si="10"/>
        <v>p__Bacillota_A</v>
      </c>
      <c r="C357" s="1">
        <v>68</v>
      </c>
      <c r="D357" s="3">
        <v>2251671</v>
      </c>
      <c r="E357" s="3">
        <f t="shared" si="11"/>
        <v>2.251671</v>
      </c>
      <c r="F357" s="1">
        <v>2024</v>
      </c>
      <c r="G357" s="2">
        <v>33112.800000000003</v>
      </c>
      <c r="H357" s="1">
        <v>214869</v>
      </c>
      <c r="M357" t="s">
        <v>759</v>
      </c>
      <c r="N357" t="s">
        <v>1589</v>
      </c>
    </row>
    <row r="358" spans="1:14" x14ac:dyDescent="0.25">
      <c r="A358" t="s">
        <v>760</v>
      </c>
      <c r="B358" t="str">
        <f t="shared" si="10"/>
        <v>p__Bacillota_A</v>
      </c>
      <c r="C358" s="1">
        <v>415</v>
      </c>
      <c r="D358" s="3">
        <v>2697851</v>
      </c>
      <c r="E358" s="3">
        <f t="shared" si="11"/>
        <v>2.697851</v>
      </c>
      <c r="F358" s="2">
        <v>2003</v>
      </c>
      <c r="G358" s="1">
        <v>6500.8</v>
      </c>
      <c r="H358" s="1">
        <v>51218</v>
      </c>
      <c r="M358" t="s">
        <v>760</v>
      </c>
      <c r="N358" t="s">
        <v>1589</v>
      </c>
    </row>
    <row r="359" spans="1:14" x14ac:dyDescent="0.25">
      <c r="A359" t="s">
        <v>761</v>
      </c>
      <c r="B359" t="str">
        <f t="shared" si="10"/>
        <v>p__Bacillota_A</v>
      </c>
      <c r="C359" s="1">
        <v>159</v>
      </c>
      <c r="D359" s="3">
        <v>2199066</v>
      </c>
      <c r="E359" s="3">
        <f t="shared" si="11"/>
        <v>2.1990660000000002</v>
      </c>
      <c r="F359" s="2">
        <v>2014</v>
      </c>
      <c r="G359" s="1">
        <v>13830.6</v>
      </c>
      <c r="H359" s="1">
        <v>322078</v>
      </c>
      <c r="M359" t="s">
        <v>761</v>
      </c>
      <c r="N359" t="s">
        <v>1589</v>
      </c>
    </row>
    <row r="360" spans="1:14" x14ac:dyDescent="0.25">
      <c r="A360" t="s">
        <v>762</v>
      </c>
      <c r="B360" t="str">
        <f t="shared" si="10"/>
        <v>p__Bacillota_A</v>
      </c>
      <c r="C360" s="1">
        <v>106</v>
      </c>
      <c r="D360" s="3">
        <v>2329386</v>
      </c>
      <c r="E360" s="3">
        <f t="shared" si="11"/>
        <v>2.329386</v>
      </c>
      <c r="F360" s="2">
        <v>2010</v>
      </c>
      <c r="G360" s="1">
        <v>21975.3</v>
      </c>
      <c r="H360" s="1">
        <v>186864</v>
      </c>
      <c r="M360" t="s">
        <v>762</v>
      </c>
      <c r="N360" t="s">
        <v>1589</v>
      </c>
    </row>
    <row r="361" spans="1:14" x14ac:dyDescent="0.25">
      <c r="A361" t="s">
        <v>763</v>
      </c>
      <c r="B361" t="str">
        <f t="shared" si="10"/>
        <v>p__Bacillota_A</v>
      </c>
      <c r="C361" s="1">
        <v>209</v>
      </c>
      <c r="D361" s="3">
        <v>2168833</v>
      </c>
      <c r="E361" s="3">
        <f t="shared" si="11"/>
        <v>2.1688329999999998</v>
      </c>
      <c r="F361" s="2">
        <v>2003</v>
      </c>
      <c r="G361" s="1">
        <v>10377.200000000001</v>
      </c>
      <c r="H361" s="1">
        <v>198594</v>
      </c>
      <c r="M361" t="s">
        <v>763</v>
      </c>
      <c r="N361" t="s">
        <v>1589</v>
      </c>
    </row>
    <row r="362" spans="1:14" x14ac:dyDescent="0.25">
      <c r="A362" t="s">
        <v>764</v>
      </c>
      <c r="B362" t="str">
        <f t="shared" si="10"/>
        <v>p__Bacillota_A</v>
      </c>
      <c r="C362" s="1">
        <v>306</v>
      </c>
      <c r="D362" s="3">
        <v>1860071</v>
      </c>
      <c r="E362" s="3">
        <f t="shared" si="11"/>
        <v>1.860071</v>
      </c>
      <c r="F362" s="2">
        <v>2008</v>
      </c>
      <c r="G362" s="1">
        <v>6078.7</v>
      </c>
      <c r="H362" s="1">
        <v>31632</v>
      </c>
      <c r="M362" t="s">
        <v>764</v>
      </c>
      <c r="N362" t="s">
        <v>1589</v>
      </c>
    </row>
    <row r="363" spans="1:14" x14ac:dyDescent="0.25">
      <c r="A363" t="s">
        <v>765</v>
      </c>
      <c r="B363" t="str">
        <f t="shared" si="10"/>
        <v>p__Bacillota_A</v>
      </c>
      <c r="C363" s="1">
        <v>35</v>
      </c>
      <c r="D363" s="3">
        <v>1586767</v>
      </c>
      <c r="E363" s="3">
        <f t="shared" si="11"/>
        <v>1.586767</v>
      </c>
      <c r="F363" s="1">
        <v>2944</v>
      </c>
      <c r="G363" s="2">
        <v>45336.2</v>
      </c>
      <c r="H363" s="1">
        <v>215751</v>
      </c>
      <c r="M363" t="s">
        <v>765</v>
      </c>
      <c r="N363" t="s">
        <v>1589</v>
      </c>
    </row>
    <row r="364" spans="1:14" x14ac:dyDescent="0.25">
      <c r="A364" t="s">
        <v>766</v>
      </c>
      <c r="B364" t="str">
        <f t="shared" si="10"/>
        <v>p__Bacillota_A</v>
      </c>
      <c r="C364" s="1">
        <v>389</v>
      </c>
      <c r="D364" s="3">
        <v>2617426</v>
      </c>
      <c r="E364" s="3">
        <f t="shared" si="11"/>
        <v>2.617426</v>
      </c>
      <c r="F364" s="2">
        <v>2006</v>
      </c>
      <c r="G364" s="1">
        <v>6728.6</v>
      </c>
      <c r="H364" s="1">
        <v>28111</v>
      </c>
      <c r="M364" t="s">
        <v>766</v>
      </c>
      <c r="N364" t="s">
        <v>1589</v>
      </c>
    </row>
    <row r="365" spans="1:14" x14ac:dyDescent="0.25">
      <c r="A365" t="s">
        <v>767</v>
      </c>
      <c r="B365" t="str">
        <f t="shared" si="10"/>
        <v>p__Bacillota_A</v>
      </c>
      <c r="C365" s="1">
        <v>194</v>
      </c>
      <c r="D365" s="3">
        <v>1096804</v>
      </c>
      <c r="E365" s="3">
        <f t="shared" si="11"/>
        <v>1.0968039999999999</v>
      </c>
      <c r="F365" s="2">
        <v>2021</v>
      </c>
      <c r="G365" s="1">
        <v>5653.6</v>
      </c>
      <c r="H365" s="1">
        <v>30494</v>
      </c>
      <c r="M365" t="s">
        <v>767</v>
      </c>
      <c r="N365" t="s">
        <v>1589</v>
      </c>
    </row>
    <row r="366" spans="1:14" x14ac:dyDescent="0.25">
      <c r="A366" t="s">
        <v>768</v>
      </c>
      <c r="B366" t="str">
        <f t="shared" si="10"/>
        <v>p__Bacillota_A</v>
      </c>
      <c r="C366" s="1">
        <v>290</v>
      </c>
      <c r="D366" s="3">
        <v>1360404</v>
      </c>
      <c r="E366" s="3">
        <f t="shared" si="11"/>
        <v>1.3604039999999999</v>
      </c>
      <c r="F366" s="1">
        <v>2003</v>
      </c>
      <c r="G366" s="1">
        <v>4691</v>
      </c>
      <c r="H366" s="1">
        <v>17818</v>
      </c>
      <c r="M366" t="s">
        <v>768</v>
      </c>
      <c r="N366" t="s">
        <v>1589</v>
      </c>
    </row>
    <row r="367" spans="1:14" x14ac:dyDescent="0.25">
      <c r="A367" t="s">
        <v>769</v>
      </c>
      <c r="B367" t="str">
        <f t="shared" si="10"/>
        <v>p__Bacillota_A</v>
      </c>
      <c r="C367" s="1">
        <v>77</v>
      </c>
      <c r="D367" s="3">
        <v>4272382</v>
      </c>
      <c r="E367" s="3">
        <f t="shared" si="11"/>
        <v>4.2723820000000003</v>
      </c>
      <c r="F367" s="1">
        <v>3674</v>
      </c>
      <c r="G367" s="2">
        <v>55485.5</v>
      </c>
      <c r="H367" s="1">
        <v>338043</v>
      </c>
      <c r="M367" t="s">
        <v>769</v>
      </c>
      <c r="N367" t="s">
        <v>1589</v>
      </c>
    </row>
    <row r="368" spans="1:14" x14ac:dyDescent="0.25">
      <c r="A368" t="s">
        <v>770</v>
      </c>
      <c r="B368" t="str">
        <f t="shared" si="10"/>
        <v>p__Bacillota_A</v>
      </c>
      <c r="C368" s="1">
        <v>268</v>
      </c>
      <c r="D368" s="3">
        <v>1737784</v>
      </c>
      <c r="E368" s="3">
        <f t="shared" si="11"/>
        <v>1.737784</v>
      </c>
      <c r="F368" s="2">
        <v>2003</v>
      </c>
      <c r="G368" s="1">
        <v>6484.3</v>
      </c>
      <c r="H368" s="1">
        <v>32847</v>
      </c>
      <c r="M368" t="s">
        <v>770</v>
      </c>
      <c r="N368" t="s">
        <v>1589</v>
      </c>
    </row>
    <row r="369" spans="1:14" x14ac:dyDescent="0.25">
      <c r="A369" t="s">
        <v>771</v>
      </c>
      <c r="B369" t="str">
        <f t="shared" si="10"/>
        <v>p__Bacillota_A</v>
      </c>
      <c r="C369" s="1">
        <v>286</v>
      </c>
      <c r="D369" s="3">
        <v>1397720</v>
      </c>
      <c r="E369" s="3">
        <f t="shared" si="11"/>
        <v>1.3977200000000001</v>
      </c>
      <c r="F369" s="2">
        <v>2004</v>
      </c>
      <c r="G369" s="1">
        <v>4887.1000000000004</v>
      </c>
      <c r="H369" s="1">
        <v>39389</v>
      </c>
      <c r="M369" t="s">
        <v>771</v>
      </c>
      <c r="N369" t="s">
        <v>1589</v>
      </c>
    </row>
    <row r="370" spans="1:14" x14ac:dyDescent="0.25">
      <c r="A370" t="s">
        <v>772</v>
      </c>
      <c r="B370" t="str">
        <f t="shared" si="10"/>
        <v>p__Bacillota_A</v>
      </c>
      <c r="C370" s="1">
        <v>218</v>
      </c>
      <c r="D370" s="3">
        <v>1301652</v>
      </c>
      <c r="E370" s="3">
        <f t="shared" si="11"/>
        <v>1.301652</v>
      </c>
      <c r="F370" s="2">
        <v>2003</v>
      </c>
      <c r="G370" s="1">
        <v>5970.9</v>
      </c>
      <c r="H370" s="1">
        <v>79776</v>
      </c>
      <c r="M370" t="s">
        <v>772</v>
      </c>
      <c r="N370" t="s">
        <v>1589</v>
      </c>
    </row>
    <row r="371" spans="1:14" x14ac:dyDescent="0.25">
      <c r="A371" t="s">
        <v>773</v>
      </c>
      <c r="B371" t="str">
        <f t="shared" si="10"/>
        <v>p__Bacillota_A</v>
      </c>
      <c r="C371" s="1">
        <v>149</v>
      </c>
      <c r="D371" s="3">
        <v>1469744</v>
      </c>
      <c r="E371" s="3">
        <f t="shared" si="11"/>
        <v>1.4697439999999999</v>
      </c>
      <c r="F371" s="2">
        <v>2008</v>
      </c>
      <c r="G371" s="1">
        <v>9864.1</v>
      </c>
      <c r="H371" s="1">
        <v>112243</v>
      </c>
      <c r="M371" t="s">
        <v>773</v>
      </c>
      <c r="N371" t="s">
        <v>1589</v>
      </c>
    </row>
    <row r="372" spans="1:14" x14ac:dyDescent="0.25">
      <c r="A372" t="s">
        <v>774</v>
      </c>
      <c r="B372" t="str">
        <f t="shared" si="10"/>
        <v>p__Bacillota_A</v>
      </c>
      <c r="C372" s="1">
        <v>225</v>
      </c>
      <c r="D372" s="3">
        <v>2064063</v>
      </c>
      <c r="E372" s="3">
        <f t="shared" si="11"/>
        <v>2.064063</v>
      </c>
      <c r="F372" s="2">
        <v>2006</v>
      </c>
      <c r="G372" s="1">
        <v>9173.6</v>
      </c>
      <c r="H372" s="1">
        <v>112032</v>
      </c>
      <c r="M372" t="s">
        <v>774</v>
      </c>
      <c r="N372" t="s">
        <v>1589</v>
      </c>
    </row>
    <row r="373" spans="1:14" x14ac:dyDescent="0.25">
      <c r="A373" t="s">
        <v>775</v>
      </c>
      <c r="B373" t="str">
        <f t="shared" si="10"/>
        <v>p__Bacillota_A</v>
      </c>
      <c r="C373" s="1">
        <v>74</v>
      </c>
      <c r="D373" s="3">
        <v>1789800</v>
      </c>
      <c r="E373" s="3">
        <f t="shared" si="11"/>
        <v>1.7898000000000001</v>
      </c>
      <c r="F373" s="1">
        <v>2024</v>
      </c>
      <c r="G373" s="2">
        <v>24186.5</v>
      </c>
      <c r="H373" s="1">
        <v>185245</v>
      </c>
      <c r="M373" t="s">
        <v>775</v>
      </c>
      <c r="N373" t="s">
        <v>1589</v>
      </c>
    </row>
    <row r="374" spans="1:14" x14ac:dyDescent="0.25">
      <c r="A374" t="s">
        <v>776</v>
      </c>
      <c r="B374" t="str">
        <f t="shared" si="10"/>
        <v>p__Bacillota_A</v>
      </c>
      <c r="C374" s="1">
        <v>202</v>
      </c>
      <c r="D374" s="3">
        <v>1743456</v>
      </c>
      <c r="E374" s="3">
        <f t="shared" si="11"/>
        <v>1.7434559999999999</v>
      </c>
      <c r="F374" s="1">
        <v>2011</v>
      </c>
      <c r="G374" s="1">
        <v>8631</v>
      </c>
      <c r="H374" s="1">
        <v>155944</v>
      </c>
      <c r="M374" t="s">
        <v>776</v>
      </c>
      <c r="N374" t="s">
        <v>1589</v>
      </c>
    </row>
    <row r="375" spans="1:14" x14ac:dyDescent="0.25">
      <c r="A375" t="s">
        <v>777</v>
      </c>
      <c r="B375" t="str">
        <f t="shared" si="10"/>
        <v>p__Bacillota_A</v>
      </c>
      <c r="C375" s="1">
        <v>300</v>
      </c>
      <c r="D375" s="3">
        <v>1507680</v>
      </c>
      <c r="E375" s="3">
        <f t="shared" si="11"/>
        <v>1.5076799999999999</v>
      </c>
      <c r="F375" s="2">
        <v>2018</v>
      </c>
      <c r="G375" s="1">
        <v>5025.6000000000004</v>
      </c>
      <c r="H375" s="1">
        <v>49671</v>
      </c>
      <c r="M375" t="s">
        <v>777</v>
      </c>
      <c r="N375" t="s">
        <v>1589</v>
      </c>
    </row>
    <row r="376" spans="1:14" x14ac:dyDescent="0.25">
      <c r="A376" t="s">
        <v>778</v>
      </c>
      <c r="B376" t="str">
        <f t="shared" si="10"/>
        <v>p__Bacillota_A</v>
      </c>
      <c r="C376" s="1">
        <v>122</v>
      </c>
      <c r="D376" s="3">
        <v>1361050</v>
      </c>
      <c r="E376" s="3">
        <f t="shared" si="11"/>
        <v>1.3610500000000001</v>
      </c>
      <c r="F376" s="2">
        <v>2000</v>
      </c>
      <c r="G376" s="1">
        <v>11156.1</v>
      </c>
      <c r="H376" s="1">
        <v>90466</v>
      </c>
      <c r="M376" t="s">
        <v>778</v>
      </c>
      <c r="N376" t="s">
        <v>1589</v>
      </c>
    </row>
    <row r="377" spans="1:14" x14ac:dyDescent="0.25">
      <c r="A377" t="s">
        <v>779</v>
      </c>
      <c r="B377" t="str">
        <f t="shared" si="10"/>
        <v>p__Bacillota_A</v>
      </c>
      <c r="C377" s="1">
        <v>110</v>
      </c>
      <c r="D377" s="3">
        <v>1550608</v>
      </c>
      <c r="E377" s="3">
        <f t="shared" si="11"/>
        <v>1.550608</v>
      </c>
      <c r="F377" s="2">
        <v>2009</v>
      </c>
      <c r="G377" s="1">
        <v>14096.4</v>
      </c>
      <c r="H377" s="1">
        <v>178688</v>
      </c>
      <c r="M377" t="s">
        <v>779</v>
      </c>
      <c r="N377" t="s">
        <v>1589</v>
      </c>
    </row>
    <row r="378" spans="1:14" x14ac:dyDescent="0.25">
      <c r="A378" t="s">
        <v>780</v>
      </c>
      <c r="B378" t="str">
        <f t="shared" si="10"/>
        <v>p__Bacillota_A</v>
      </c>
      <c r="C378" s="1">
        <v>307</v>
      </c>
      <c r="D378" s="3">
        <v>1413176</v>
      </c>
      <c r="E378" s="3">
        <f t="shared" si="11"/>
        <v>1.413176</v>
      </c>
      <c r="F378" s="2">
        <v>2002</v>
      </c>
      <c r="G378" s="1">
        <v>4603.2</v>
      </c>
      <c r="H378" s="1">
        <v>33655</v>
      </c>
      <c r="M378" t="s">
        <v>780</v>
      </c>
      <c r="N378" t="s">
        <v>1589</v>
      </c>
    </row>
    <row r="379" spans="1:14" x14ac:dyDescent="0.25">
      <c r="A379" t="s">
        <v>781</v>
      </c>
      <c r="B379" t="str">
        <f t="shared" si="10"/>
        <v>p__Bacillota_A</v>
      </c>
      <c r="C379" s="1">
        <v>281</v>
      </c>
      <c r="D379" s="3">
        <v>1331560</v>
      </c>
      <c r="E379" s="3">
        <f t="shared" si="11"/>
        <v>1.3315600000000001</v>
      </c>
      <c r="F379" s="2">
        <v>2001</v>
      </c>
      <c r="G379" s="1">
        <v>4738.6000000000004</v>
      </c>
      <c r="H379" s="1">
        <v>63277</v>
      </c>
      <c r="M379" t="s">
        <v>781</v>
      </c>
      <c r="N379" t="s">
        <v>1589</v>
      </c>
    </row>
    <row r="380" spans="1:14" x14ac:dyDescent="0.25">
      <c r="A380" t="s">
        <v>782</v>
      </c>
      <c r="B380" t="str">
        <f t="shared" si="10"/>
        <v>p__Bacillota_A</v>
      </c>
      <c r="C380" s="1">
        <v>17</v>
      </c>
      <c r="D380" s="3">
        <v>2394664</v>
      </c>
      <c r="E380" s="3">
        <f t="shared" si="11"/>
        <v>2.3946640000000001</v>
      </c>
      <c r="F380" s="1">
        <v>3952</v>
      </c>
      <c r="G380" s="2">
        <v>140862.6</v>
      </c>
      <c r="H380" s="1">
        <v>473723</v>
      </c>
      <c r="M380" t="s">
        <v>782</v>
      </c>
      <c r="N380" t="s">
        <v>1589</v>
      </c>
    </row>
    <row r="381" spans="1:14" x14ac:dyDescent="0.25">
      <c r="A381" t="s">
        <v>783</v>
      </c>
      <c r="B381" t="str">
        <f t="shared" si="10"/>
        <v>p__Bacillota_A</v>
      </c>
      <c r="C381" s="1">
        <v>20</v>
      </c>
      <c r="D381" s="3">
        <v>1218563</v>
      </c>
      <c r="E381" s="3">
        <f t="shared" si="11"/>
        <v>1.2185630000000001</v>
      </c>
      <c r="F381" s="1">
        <v>10926</v>
      </c>
      <c r="G381" s="2">
        <v>60928.2</v>
      </c>
      <c r="H381" s="1">
        <v>143323</v>
      </c>
      <c r="M381" t="s">
        <v>783</v>
      </c>
      <c r="N381" t="s">
        <v>1589</v>
      </c>
    </row>
    <row r="382" spans="1:14" x14ac:dyDescent="0.25">
      <c r="A382" t="s">
        <v>784</v>
      </c>
      <c r="B382" t="str">
        <f t="shared" si="10"/>
        <v>p__Bacillota_A</v>
      </c>
      <c r="C382" s="1">
        <v>215</v>
      </c>
      <c r="D382" s="3">
        <v>1328791</v>
      </c>
      <c r="E382" s="3">
        <f t="shared" si="11"/>
        <v>1.3287910000000001</v>
      </c>
      <c r="F382" s="2">
        <v>2007</v>
      </c>
      <c r="G382" s="1">
        <v>6180.4</v>
      </c>
      <c r="H382" s="1">
        <v>27826</v>
      </c>
      <c r="M382" t="s">
        <v>784</v>
      </c>
      <c r="N382" t="s">
        <v>1589</v>
      </c>
    </row>
    <row r="383" spans="1:14" x14ac:dyDescent="0.25">
      <c r="A383" t="s">
        <v>785</v>
      </c>
      <c r="B383" t="str">
        <f t="shared" si="10"/>
        <v>p__Bacillota_A</v>
      </c>
      <c r="C383" s="1">
        <v>191</v>
      </c>
      <c r="D383" s="3">
        <v>1147518</v>
      </c>
      <c r="E383" s="3">
        <f t="shared" si="11"/>
        <v>1.147518</v>
      </c>
      <c r="F383" s="2">
        <v>2004</v>
      </c>
      <c r="G383" s="1">
        <v>6007.9</v>
      </c>
      <c r="H383" s="1">
        <v>138839</v>
      </c>
      <c r="M383" t="s">
        <v>785</v>
      </c>
      <c r="N383" t="s">
        <v>1589</v>
      </c>
    </row>
    <row r="384" spans="1:14" x14ac:dyDescent="0.25">
      <c r="A384" t="s">
        <v>786</v>
      </c>
      <c r="B384" t="str">
        <f t="shared" si="10"/>
        <v>p__Bacillota_A</v>
      </c>
      <c r="C384" s="1">
        <v>91</v>
      </c>
      <c r="D384" s="3">
        <v>1501059</v>
      </c>
      <c r="E384" s="3">
        <f t="shared" si="11"/>
        <v>1.5010589999999999</v>
      </c>
      <c r="F384" s="1">
        <v>2002</v>
      </c>
      <c r="G384" s="2">
        <v>16495.2</v>
      </c>
      <c r="H384" s="1">
        <v>178743</v>
      </c>
      <c r="M384" t="s">
        <v>786</v>
      </c>
      <c r="N384" t="s">
        <v>1589</v>
      </c>
    </row>
    <row r="385" spans="1:14" x14ac:dyDescent="0.25">
      <c r="A385" t="s">
        <v>787</v>
      </c>
      <c r="B385" t="str">
        <f t="shared" si="10"/>
        <v>p__Bacillota_A</v>
      </c>
      <c r="C385" s="1">
        <v>401</v>
      </c>
      <c r="D385" s="3">
        <v>2143161</v>
      </c>
      <c r="E385" s="3">
        <f t="shared" si="11"/>
        <v>2.1431610000000001</v>
      </c>
      <c r="F385" s="2">
        <v>2003</v>
      </c>
      <c r="G385" s="1">
        <v>5344.5</v>
      </c>
      <c r="H385" s="1">
        <v>97560</v>
      </c>
      <c r="M385" t="s">
        <v>787</v>
      </c>
      <c r="N385" t="s">
        <v>1589</v>
      </c>
    </row>
    <row r="386" spans="1:14" x14ac:dyDescent="0.25">
      <c r="A386" t="s">
        <v>788</v>
      </c>
      <c r="B386" t="str">
        <f t="shared" ref="B386:B449" si="12">VLOOKUP(A386,M:N,2,FALSE)</f>
        <v>p__Bacillota_A</v>
      </c>
      <c r="C386" s="1">
        <v>28</v>
      </c>
      <c r="D386" s="3">
        <v>2624938</v>
      </c>
      <c r="E386" s="3">
        <f t="shared" ref="E386:E449" si="13">D386/1000000</f>
        <v>2.6249380000000002</v>
      </c>
      <c r="F386" s="1">
        <v>2153</v>
      </c>
      <c r="G386" s="2">
        <v>93747.8</v>
      </c>
      <c r="H386" s="1">
        <v>403456</v>
      </c>
      <c r="M386" t="s">
        <v>788</v>
      </c>
      <c r="N386" t="s">
        <v>1589</v>
      </c>
    </row>
    <row r="387" spans="1:14" x14ac:dyDescent="0.25">
      <c r="A387" t="s">
        <v>789</v>
      </c>
      <c r="B387" t="str">
        <f t="shared" si="12"/>
        <v>p__Bacillota_A</v>
      </c>
      <c r="C387" s="1">
        <v>74</v>
      </c>
      <c r="D387" s="3">
        <v>1964314</v>
      </c>
      <c r="E387" s="3">
        <f t="shared" si="13"/>
        <v>1.9643139999999999</v>
      </c>
      <c r="F387" s="1">
        <v>4172</v>
      </c>
      <c r="G387" s="2">
        <v>26544.799999999999</v>
      </c>
      <c r="H387" s="1">
        <v>105927</v>
      </c>
      <c r="M387" t="s">
        <v>789</v>
      </c>
      <c r="N387" t="s">
        <v>1589</v>
      </c>
    </row>
    <row r="388" spans="1:14" x14ac:dyDescent="0.25">
      <c r="A388" t="s">
        <v>790</v>
      </c>
      <c r="B388" t="str">
        <f t="shared" si="12"/>
        <v>p__Bacillota_A</v>
      </c>
      <c r="C388" s="1">
        <v>100</v>
      </c>
      <c r="D388" s="3">
        <v>3015824</v>
      </c>
      <c r="E388" s="3">
        <f t="shared" si="13"/>
        <v>3.0158239999999998</v>
      </c>
      <c r="F388" s="2">
        <v>2610</v>
      </c>
      <c r="G388" s="1">
        <v>30158.2</v>
      </c>
      <c r="H388" s="1">
        <v>144052</v>
      </c>
      <c r="M388" t="s">
        <v>790</v>
      </c>
      <c r="N388" t="s">
        <v>1589</v>
      </c>
    </row>
    <row r="389" spans="1:14" x14ac:dyDescent="0.25">
      <c r="A389" t="s">
        <v>791</v>
      </c>
      <c r="B389" t="str">
        <f t="shared" si="12"/>
        <v>p__Bacillota_A</v>
      </c>
      <c r="C389" s="1">
        <v>17</v>
      </c>
      <c r="D389" s="3">
        <v>1449644</v>
      </c>
      <c r="E389" s="3">
        <f t="shared" si="13"/>
        <v>1.4496439999999999</v>
      </c>
      <c r="F389" s="1">
        <v>4359</v>
      </c>
      <c r="G389" s="2">
        <v>85273.2</v>
      </c>
      <c r="H389" s="1">
        <v>272917</v>
      </c>
      <c r="M389" t="s">
        <v>791</v>
      </c>
      <c r="N389" t="s">
        <v>1589</v>
      </c>
    </row>
    <row r="390" spans="1:14" x14ac:dyDescent="0.25">
      <c r="A390" t="s">
        <v>792</v>
      </c>
      <c r="B390" t="str">
        <f t="shared" si="12"/>
        <v>p__Bacillota_A</v>
      </c>
      <c r="C390" s="1">
        <v>229</v>
      </c>
      <c r="D390" s="3">
        <v>935281</v>
      </c>
      <c r="E390" s="3">
        <f t="shared" si="13"/>
        <v>0.93528100000000003</v>
      </c>
      <c r="F390" s="2">
        <v>2014</v>
      </c>
      <c r="G390" s="1">
        <v>4084.2</v>
      </c>
      <c r="H390" s="1">
        <v>17693</v>
      </c>
      <c r="M390" t="s">
        <v>792</v>
      </c>
      <c r="N390" t="s">
        <v>1589</v>
      </c>
    </row>
    <row r="391" spans="1:14" x14ac:dyDescent="0.25">
      <c r="A391" t="s">
        <v>793</v>
      </c>
      <c r="B391" t="str">
        <f t="shared" si="12"/>
        <v>p__Bacillota_A</v>
      </c>
      <c r="C391" s="1">
        <v>124</v>
      </c>
      <c r="D391" s="3">
        <v>2320822</v>
      </c>
      <c r="E391" s="3">
        <f t="shared" si="13"/>
        <v>2.3208220000000002</v>
      </c>
      <c r="F391" s="2">
        <v>2035</v>
      </c>
      <c r="G391" s="1">
        <v>18716.3</v>
      </c>
      <c r="H391" s="1">
        <v>244088</v>
      </c>
      <c r="M391" t="s">
        <v>793</v>
      </c>
      <c r="N391" t="s">
        <v>1589</v>
      </c>
    </row>
    <row r="392" spans="1:14" x14ac:dyDescent="0.25">
      <c r="A392" t="s">
        <v>794</v>
      </c>
      <c r="B392" t="str">
        <f t="shared" si="12"/>
        <v>p__Bacillota_A</v>
      </c>
      <c r="C392" s="1">
        <v>304</v>
      </c>
      <c r="D392" s="3">
        <v>1201082</v>
      </c>
      <c r="E392" s="3">
        <f t="shared" si="13"/>
        <v>1.201082</v>
      </c>
      <c r="F392" s="2">
        <v>2010</v>
      </c>
      <c r="G392" s="1">
        <v>3950.9</v>
      </c>
      <c r="H392" s="1">
        <v>21618</v>
      </c>
      <c r="M392" t="s">
        <v>794</v>
      </c>
      <c r="N392" t="s">
        <v>1589</v>
      </c>
    </row>
    <row r="393" spans="1:14" x14ac:dyDescent="0.25">
      <c r="A393" t="s">
        <v>795</v>
      </c>
      <c r="B393" t="str">
        <f t="shared" si="12"/>
        <v>p__Bacillota_A</v>
      </c>
      <c r="C393" s="1">
        <v>97</v>
      </c>
      <c r="D393" s="3">
        <v>1324568</v>
      </c>
      <c r="E393" s="3">
        <f t="shared" si="13"/>
        <v>1.324568</v>
      </c>
      <c r="F393" s="1">
        <v>2055</v>
      </c>
      <c r="G393" s="2">
        <v>13655.3</v>
      </c>
      <c r="H393" s="1">
        <v>182233</v>
      </c>
      <c r="M393" t="s">
        <v>795</v>
      </c>
      <c r="N393" t="s">
        <v>1589</v>
      </c>
    </row>
    <row r="394" spans="1:14" x14ac:dyDescent="0.25">
      <c r="A394" t="s">
        <v>796</v>
      </c>
      <c r="B394" t="str">
        <f t="shared" si="12"/>
        <v>p__Bacillota_A</v>
      </c>
      <c r="C394" s="1">
        <v>327</v>
      </c>
      <c r="D394" s="3">
        <v>2202888</v>
      </c>
      <c r="E394" s="3">
        <f t="shared" si="13"/>
        <v>2.2028880000000002</v>
      </c>
      <c r="F394" s="2">
        <v>2003</v>
      </c>
      <c r="G394" s="1">
        <v>6736.7</v>
      </c>
      <c r="H394" s="1">
        <v>41041</v>
      </c>
      <c r="M394" t="s">
        <v>796</v>
      </c>
      <c r="N394" t="s">
        <v>1589</v>
      </c>
    </row>
    <row r="395" spans="1:14" x14ac:dyDescent="0.25">
      <c r="A395" t="s">
        <v>797</v>
      </c>
      <c r="B395" t="str">
        <f t="shared" si="12"/>
        <v>p__Bacillota_A</v>
      </c>
      <c r="C395" s="1">
        <v>216</v>
      </c>
      <c r="D395" s="3">
        <v>1629878</v>
      </c>
      <c r="E395" s="3">
        <f t="shared" si="13"/>
        <v>1.6298779999999999</v>
      </c>
      <c r="F395" s="2">
        <v>2008</v>
      </c>
      <c r="G395" s="1">
        <v>7545.7</v>
      </c>
      <c r="H395" s="1">
        <v>94113</v>
      </c>
      <c r="M395" t="s">
        <v>797</v>
      </c>
      <c r="N395" t="s">
        <v>1589</v>
      </c>
    </row>
    <row r="396" spans="1:14" x14ac:dyDescent="0.25">
      <c r="A396" t="s">
        <v>798</v>
      </c>
      <c r="B396" t="str">
        <f t="shared" si="12"/>
        <v>p__Bacillota_A</v>
      </c>
      <c r="C396" s="1">
        <v>224</v>
      </c>
      <c r="D396" s="3">
        <v>1162700</v>
      </c>
      <c r="E396" s="3">
        <f t="shared" si="13"/>
        <v>1.1627000000000001</v>
      </c>
      <c r="F396" s="2">
        <v>2004</v>
      </c>
      <c r="G396" s="1">
        <v>5190.6000000000004</v>
      </c>
      <c r="H396" s="1">
        <v>90771</v>
      </c>
      <c r="M396" t="s">
        <v>798</v>
      </c>
      <c r="N396" t="s">
        <v>1589</v>
      </c>
    </row>
    <row r="397" spans="1:14" x14ac:dyDescent="0.25">
      <c r="A397" t="s">
        <v>799</v>
      </c>
      <c r="B397" t="str">
        <f t="shared" si="12"/>
        <v>p__Bacillota_A</v>
      </c>
      <c r="C397" s="1">
        <v>367</v>
      </c>
      <c r="D397" s="3">
        <v>1882589</v>
      </c>
      <c r="E397" s="3">
        <f t="shared" si="13"/>
        <v>1.8825890000000001</v>
      </c>
      <c r="F397" s="2">
        <v>2013</v>
      </c>
      <c r="G397" s="1">
        <v>5129.7</v>
      </c>
      <c r="H397" s="1">
        <v>59170</v>
      </c>
      <c r="M397" t="s">
        <v>799</v>
      </c>
      <c r="N397" t="s">
        <v>1589</v>
      </c>
    </row>
    <row r="398" spans="1:14" x14ac:dyDescent="0.25">
      <c r="A398" t="s">
        <v>800</v>
      </c>
      <c r="B398" t="str">
        <f t="shared" si="12"/>
        <v>p__Bacillota_A</v>
      </c>
      <c r="C398" s="1">
        <v>43</v>
      </c>
      <c r="D398" s="3">
        <v>1663113</v>
      </c>
      <c r="E398" s="3">
        <f t="shared" si="13"/>
        <v>1.6631130000000001</v>
      </c>
      <c r="F398" s="1">
        <v>2071</v>
      </c>
      <c r="G398" s="1">
        <v>38677</v>
      </c>
      <c r="H398" s="1">
        <v>365610</v>
      </c>
      <c r="M398" t="s">
        <v>800</v>
      </c>
      <c r="N398" t="s">
        <v>1589</v>
      </c>
    </row>
    <row r="399" spans="1:14" x14ac:dyDescent="0.25">
      <c r="A399" t="s">
        <v>801</v>
      </c>
      <c r="B399" t="str">
        <f t="shared" si="12"/>
        <v>p__Bacillota_A</v>
      </c>
      <c r="C399" s="1">
        <v>13</v>
      </c>
      <c r="D399" s="3">
        <v>2053890</v>
      </c>
      <c r="E399" s="3">
        <f t="shared" si="13"/>
        <v>2.05389</v>
      </c>
      <c r="F399" s="1">
        <v>13377</v>
      </c>
      <c r="G399" s="2">
        <v>157991.5</v>
      </c>
      <c r="H399" s="1">
        <v>444699</v>
      </c>
      <c r="M399" t="s">
        <v>801</v>
      </c>
      <c r="N399" t="s">
        <v>1589</v>
      </c>
    </row>
    <row r="400" spans="1:14" x14ac:dyDescent="0.25">
      <c r="A400" t="s">
        <v>802</v>
      </c>
      <c r="B400" t="str">
        <f t="shared" si="12"/>
        <v>p__Bacillota_A</v>
      </c>
      <c r="C400" s="1">
        <v>20</v>
      </c>
      <c r="D400" s="3">
        <v>1072189</v>
      </c>
      <c r="E400" s="3">
        <f t="shared" si="13"/>
        <v>1.0721890000000001</v>
      </c>
      <c r="F400" s="1">
        <v>8762</v>
      </c>
      <c r="G400" s="2">
        <v>53609.5</v>
      </c>
      <c r="H400" s="1">
        <v>112684</v>
      </c>
      <c r="M400" t="s">
        <v>802</v>
      </c>
      <c r="N400" t="s">
        <v>1589</v>
      </c>
    </row>
    <row r="401" spans="1:14" x14ac:dyDescent="0.25">
      <c r="A401" t="s">
        <v>803</v>
      </c>
      <c r="B401" t="str">
        <f t="shared" si="12"/>
        <v>p__Bacillota_A</v>
      </c>
      <c r="C401" s="1">
        <v>123</v>
      </c>
      <c r="D401" s="3">
        <v>2002216</v>
      </c>
      <c r="E401" s="3">
        <f t="shared" si="13"/>
        <v>2.0022160000000002</v>
      </c>
      <c r="F401" s="2">
        <v>2033</v>
      </c>
      <c r="G401" s="1">
        <v>16278.2</v>
      </c>
      <c r="H401" s="1">
        <v>136986</v>
      </c>
      <c r="M401" t="s">
        <v>803</v>
      </c>
      <c r="N401" t="s">
        <v>1589</v>
      </c>
    </row>
    <row r="402" spans="1:14" x14ac:dyDescent="0.25">
      <c r="A402" t="s">
        <v>804</v>
      </c>
      <c r="B402" t="str">
        <f t="shared" si="12"/>
        <v>p__Bacillota_A</v>
      </c>
      <c r="C402" s="1">
        <v>190</v>
      </c>
      <c r="D402" s="3">
        <v>1002829</v>
      </c>
      <c r="E402" s="3">
        <f t="shared" si="13"/>
        <v>1.002829</v>
      </c>
      <c r="F402" s="1">
        <v>2011</v>
      </c>
      <c r="G402" s="1">
        <v>5278</v>
      </c>
      <c r="H402" s="1">
        <v>54242</v>
      </c>
      <c r="M402" t="s">
        <v>804</v>
      </c>
      <c r="N402" t="s">
        <v>1589</v>
      </c>
    </row>
    <row r="403" spans="1:14" x14ac:dyDescent="0.25">
      <c r="A403" t="s">
        <v>805</v>
      </c>
      <c r="B403" t="str">
        <f t="shared" si="12"/>
        <v>p__Bacillota_A</v>
      </c>
      <c r="C403" s="1">
        <v>65</v>
      </c>
      <c r="D403" s="3">
        <v>1715853</v>
      </c>
      <c r="E403" s="3">
        <f t="shared" si="13"/>
        <v>1.7158530000000001</v>
      </c>
      <c r="F403" s="1">
        <v>2561</v>
      </c>
      <c r="G403" s="2">
        <v>26397.7</v>
      </c>
      <c r="H403" s="1">
        <v>117026</v>
      </c>
      <c r="M403" t="s">
        <v>805</v>
      </c>
      <c r="N403" t="s">
        <v>1589</v>
      </c>
    </row>
    <row r="404" spans="1:14" x14ac:dyDescent="0.25">
      <c r="A404" t="s">
        <v>806</v>
      </c>
      <c r="B404" t="str">
        <f t="shared" si="12"/>
        <v>p__Bacillota_A</v>
      </c>
      <c r="C404" s="1">
        <v>55</v>
      </c>
      <c r="D404" s="3">
        <v>1233893</v>
      </c>
      <c r="E404" s="3">
        <f t="shared" si="13"/>
        <v>1.2338929999999999</v>
      </c>
      <c r="F404" s="1">
        <v>2282</v>
      </c>
      <c r="G404" s="2">
        <v>22434.400000000001</v>
      </c>
      <c r="H404" s="1">
        <v>80629</v>
      </c>
      <c r="M404" t="s">
        <v>806</v>
      </c>
      <c r="N404" t="s">
        <v>1589</v>
      </c>
    </row>
    <row r="405" spans="1:14" x14ac:dyDescent="0.25">
      <c r="A405" t="s">
        <v>807</v>
      </c>
      <c r="B405" t="str">
        <f t="shared" si="12"/>
        <v>p__Bacillota_A</v>
      </c>
      <c r="C405" s="1">
        <v>73</v>
      </c>
      <c r="D405" s="3">
        <v>1690344</v>
      </c>
      <c r="E405" s="3">
        <f t="shared" si="13"/>
        <v>1.6903440000000001</v>
      </c>
      <c r="F405" s="1">
        <v>2004</v>
      </c>
      <c r="G405" s="2">
        <v>23155.4</v>
      </c>
      <c r="H405" s="1">
        <v>199020</v>
      </c>
      <c r="M405" t="s">
        <v>807</v>
      </c>
      <c r="N405" t="s">
        <v>1589</v>
      </c>
    </row>
    <row r="406" spans="1:14" x14ac:dyDescent="0.25">
      <c r="A406" t="s">
        <v>808</v>
      </c>
      <c r="B406" t="str">
        <f t="shared" si="12"/>
        <v>p__Bacillota_A</v>
      </c>
      <c r="C406" s="1">
        <v>42</v>
      </c>
      <c r="D406" s="3">
        <v>1416587</v>
      </c>
      <c r="E406" s="3">
        <f t="shared" si="13"/>
        <v>1.416587</v>
      </c>
      <c r="F406" s="1">
        <v>2961</v>
      </c>
      <c r="G406" s="2">
        <v>33728.300000000003</v>
      </c>
      <c r="H406" s="1">
        <v>244574</v>
      </c>
      <c r="M406" t="s">
        <v>808</v>
      </c>
      <c r="N406" t="s">
        <v>1589</v>
      </c>
    </row>
    <row r="407" spans="1:14" x14ac:dyDescent="0.25">
      <c r="A407" t="s">
        <v>809</v>
      </c>
      <c r="B407" t="str">
        <f t="shared" si="12"/>
        <v>p__Bacillota_A</v>
      </c>
      <c r="C407" s="1">
        <v>306</v>
      </c>
      <c r="D407" s="3">
        <v>1849413</v>
      </c>
      <c r="E407" s="3">
        <f t="shared" si="13"/>
        <v>1.849413</v>
      </c>
      <c r="F407" s="2">
        <v>2012</v>
      </c>
      <c r="G407" s="1">
        <v>6043.8</v>
      </c>
      <c r="H407" s="1">
        <v>25183</v>
      </c>
      <c r="M407" t="s">
        <v>809</v>
      </c>
      <c r="N407" t="s">
        <v>1589</v>
      </c>
    </row>
    <row r="408" spans="1:14" x14ac:dyDescent="0.25">
      <c r="A408" t="s">
        <v>1100</v>
      </c>
      <c r="B408" t="str">
        <f t="shared" si="12"/>
        <v>p__Bacillota_A</v>
      </c>
      <c r="C408" s="1">
        <v>37</v>
      </c>
      <c r="D408" s="3">
        <v>1826269</v>
      </c>
      <c r="E408" s="3">
        <f t="shared" si="13"/>
        <v>1.8262689999999999</v>
      </c>
      <c r="F408" s="1">
        <v>2399</v>
      </c>
      <c r="G408" s="2">
        <v>49358.6</v>
      </c>
      <c r="H408" s="1">
        <v>164904</v>
      </c>
      <c r="M408" t="s">
        <v>1100</v>
      </c>
      <c r="N408" t="s">
        <v>1589</v>
      </c>
    </row>
    <row r="409" spans="1:14" x14ac:dyDescent="0.25">
      <c r="A409" t="s">
        <v>1101</v>
      </c>
      <c r="B409" t="str">
        <f t="shared" si="12"/>
        <v>p__Bacillota_A</v>
      </c>
      <c r="C409" s="1">
        <v>46</v>
      </c>
      <c r="D409" s="3">
        <v>2428502</v>
      </c>
      <c r="E409" s="3">
        <f t="shared" si="13"/>
        <v>2.4285019999999999</v>
      </c>
      <c r="F409" s="1">
        <v>4948</v>
      </c>
      <c r="G409" s="2">
        <v>52793.5</v>
      </c>
      <c r="H409" s="1">
        <v>159610</v>
      </c>
      <c r="M409" t="s">
        <v>1101</v>
      </c>
      <c r="N409" t="s">
        <v>1589</v>
      </c>
    </row>
    <row r="410" spans="1:14" x14ac:dyDescent="0.25">
      <c r="A410" t="s">
        <v>1102</v>
      </c>
      <c r="B410" t="str">
        <f t="shared" si="12"/>
        <v>p__Bacillota_A</v>
      </c>
      <c r="C410" s="1">
        <v>17</v>
      </c>
      <c r="D410" s="3">
        <v>2356545</v>
      </c>
      <c r="E410" s="3">
        <f t="shared" si="13"/>
        <v>2.3565450000000001</v>
      </c>
      <c r="F410" s="1">
        <v>25797</v>
      </c>
      <c r="G410" s="2">
        <v>138620.29999999999</v>
      </c>
      <c r="H410" s="1">
        <v>649509</v>
      </c>
      <c r="M410" t="s">
        <v>1102</v>
      </c>
      <c r="N410" t="s">
        <v>1589</v>
      </c>
    </row>
    <row r="411" spans="1:14" x14ac:dyDescent="0.25">
      <c r="A411" t="s">
        <v>1103</v>
      </c>
      <c r="B411" t="str">
        <f t="shared" si="12"/>
        <v>p__Bacillota_A</v>
      </c>
      <c r="C411" s="1">
        <v>6</v>
      </c>
      <c r="D411" s="3">
        <v>2448247</v>
      </c>
      <c r="E411" s="3">
        <f t="shared" si="13"/>
        <v>2.4482469999999998</v>
      </c>
      <c r="F411" s="1">
        <v>2248</v>
      </c>
      <c r="G411" s="2">
        <v>408041.2</v>
      </c>
      <c r="H411" s="1">
        <v>1508263</v>
      </c>
      <c r="M411" t="s">
        <v>1103</v>
      </c>
      <c r="N411" t="s">
        <v>1589</v>
      </c>
    </row>
    <row r="412" spans="1:14" x14ac:dyDescent="0.25">
      <c r="A412" t="s">
        <v>1104</v>
      </c>
      <c r="B412" t="str">
        <f t="shared" si="12"/>
        <v>p__Bacillota_A</v>
      </c>
      <c r="C412" s="1">
        <v>8</v>
      </c>
      <c r="D412" s="3">
        <v>3502225</v>
      </c>
      <c r="E412" s="3">
        <f t="shared" si="13"/>
        <v>3.5022250000000001</v>
      </c>
      <c r="F412" s="1">
        <v>53567</v>
      </c>
      <c r="G412" s="2">
        <v>437778.1</v>
      </c>
      <c r="H412" s="1">
        <v>790090</v>
      </c>
      <c r="M412" t="s">
        <v>1104</v>
      </c>
      <c r="N412" t="s">
        <v>1589</v>
      </c>
    </row>
    <row r="413" spans="1:14" x14ac:dyDescent="0.25">
      <c r="A413" t="s">
        <v>1105</v>
      </c>
      <c r="B413" t="str">
        <f t="shared" si="12"/>
        <v>p__Bacillota_A</v>
      </c>
      <c r="C413" s="1">
        <v>22</v>
      </c>
      <c r="D413" s="3">
        <v>4869217</v>
      </c>
      <c r="E413" s="3">
        <f t="shared" si="13"/>
        <v>4.8692169999999999</v>
      </c>
      <c r="F413" s="1">
        <v>2120</v>
      </c>
      <c r="G413" s="1">
        <v>221328</v>
      </c>
      <c r="H413" s="1">
        <v>1045009</v>
      </c>
      <c r="M413" t="s">
        <v>1105</v>
      </c>
      <c r="N413" t="s">
        <v>1589</v>
      </c>
    </row>
    <row r="414" spans="1:14" x14ac:dyDescent="0.25">
      <c r="A414" t="s">
        <v>1106</v>
      </c>
      <c r="B414" t="str">
        <f t="shared" si="12"/>
        <v>p__Bacillota_A</v>
      </c>
      <c r="C414" s="1">
        <v>8</v>
      </c>
      <c r="D414" s="3">
        <v>3970304</v>
      </c>
      <c r="E414" s="3">
        <f t="shared" si="13"/>
        <v>3.9703040000000001</v>
      </c>
      <c r="F414" s="1">
        <v>43611</v>
      </c>
      <c r="G414" s="1">
        <v>496288</v>
      </c>
      <c r="H414" s="1">
        <v>1880712</v>
      </c>
      <c r="M414" t="s">
        <v>1106</v>
      </c>
      <c r="N414" t="s">
        <v>1589</v>
      </c>
    </row>
    <row r="415" spans="1:14" x14ac:dyDescent="0.25">
      <c r="A415" t="s">
        <v>1107</v>
      </c>
      <c r="B415" t="str">
        <f t="shared" si="12"/>
        <v>p__Bacillota_A</v>
      </c>
      <c r="C415" s="1">
        <v>3</v>
      </c>
      <c r="D415" s="3">
        <v>3064278</v>
      </c>
      <c r="E415" s="3">
        <f t="shared" si="13"/>
        <v>3.0642779999999998</v>
      </c>
      <c r="F415" s="1">
        <v>344289</v>
      </c>
      <c r="G415" s="1">
        <v>1021426</v>
      </c>
      <c r="H415" s="1">
        <v>1984705</v>
      </c>
      <c r="M415" t="s">
        <v>1107</v>
      </c>
      <c r="N415" t="s">
        <v>1589</v>
      </c>
    </row>
    <row r="416" spans="1:14" x14ac:dyDescent="0.25">
      <c r="A416" t="s">
        <v>1108</v>
      </c>
      <c r="B416" t="str">
        <f t="shared" si="12"/>
        <v>p__Bacillota_A</v>
      </c>
      <c r="C416" s="1">
        <v>46</v>
      </c>
      <c r="D416" s="3">
        <v>3751827</v>
      </c>
      <c r="E416" s="3">
        <f t="shared" si="13"/>
        <v>3.751827</v>
      </c>
      <c r="F416" s="1">
        <v>2294</v>
      </c>
      <c r="G416" s="2">
        <v>81561.5</v>
      </c>
      <c r="H416" s="1">
        <v>1010927</v>
      </c>
      <c r="M416" t="s">
        <v>1108</v>
      </c>
      <c r="N416" t="s">
        <v>1589</v>
      </c>
    </row>
    <row r="417" spans="1:14" x14ac:dyDescent="0.25">
      <c r="A417" t="s">
        <v>1109</v>
      </c>
      <c r="B417" t="str">
        <f t="shared" si="12"/>
        <v>p__Bacillota_A</v>
      </c>
      <c r="C417" s="1">
        <v>51</v>
      </c>
      <c r="D417" s="3">
        <v>2526244</v>
      </c>
      <c r="E417" s="3">
        <f t="shared" si="13"/>
        <v>2.5262440000000002</v>
      </c>
      <c r="F417" s="1">
        <v>3255</v>
      </c>
      <c r="G417" s="2">
        <v>49534.2</v>
      </c>
      <c r="H417" s="1">
        <v>147492</v>
      </c>
      <c r="M417" t="s">
        <v>1109</v>
      </c>
      <c r="N417" t="s">
        <v>1589</v>
      </c>
    </row>
    <row r="418" spans="1:14" x14ac:dyDescent="0.25">
      <c r="A418" t="s">
        <v>1110</v>
      </c>
      <c r="B418" t="str">
        <f t="shared" si="12"/>
        <v>p__Bacillota_A</v>
      </c>
      <c r="C418" s="1">
        <v>43</v>
      </c>
      <c r="D418" s="3">
        <v>1527551</v>
      </c>
      <c r="E418" s="3">
        <f t="shared" si="13"/>
        <v>1.5275510000000001</v>
      </c>
      <c r="F418" s="1">
        <v>2097</v>
      </c>
      <c r="G418" s="2">
        <v>35524.400000000001</v>
      </c>
      <c r="H418" s="1">
        <v>164475</v>
      </c>
      <c r="M418" t="s">
        <v>1110</v>
      </c>
      <c r="N418" t="s">
        <v>1589</v>
      </c>
    </row>
    <row r="419" spans="1:14" x14ac:dyDescent="0.25">
      <c r="A419" t="s">
        <v>1111</v>
      </c>
      <c r="B419" t="str">
        <f t="shared" si="12"/>
        <v>p__Bacillota_A</v>
      </c>
      <c r="C419" s="1">
        <v>47</v>
      </c>
      <c r="D419" s="3">
        <v>2995093</v>
      </c>
      <c r="E419" s="3">
        <f t="shared" si="13"/>
        <v>2.9950929999999998</v>
      </c>
      <c r="F419" s="1">
        <v>2156</v>
      </c>
      <c r="G419" s="2">
        <v>63725.4</v>
      </c>
      <c r="H419" s="1">
        <v>200458</v>
      </c>
      <c r="M419" t="s">
        <v>1111</v>
      </c>
      <c r="N419" t="s">
        <v>1589</v>
      </c>
    </row>
    <row r="420" spans="1:14" x14ac:dyDescent="0.25">
      <c r="A420" t="s">
        <v>1112</v>
      </c>
      <c r="B420" t="str">
        <f t="shared" si="12"/>
        <v>p__Bacillota_A</v>
      </c>
      <c r="C420" s="1">
        <v>12</v>
      </c>
      <c r="D420" s="3">
        <v>1585306</v>
      </c>
      <c r="E420" s="3">
        <f t="shared" si="13"/>
        <v>1.5853060000000001</v>
      </c>
      <c r="F420" s="1">
        <v>2000</v>
      </c>
      <c r="G420" s="2">
        <v>132108.79999999999</v>
      </c>
      <c r="H420" s="1">
        <v>322288</v>
      </c>
      <c r="M420" t="s">
        <v>1112</v>
      </c>
      <c r="N420" t="s">
        <v>1589</v>
      </c>
    </row>
    <row r="421" spans="1:14" x14ac:dyDescent="0.25">
      <c r="A421" t="s">
        <v>1113</v>
      </c>
      <c r="B421" t="str">
        <f t="shared" si="12"/>
        <v>p__Bacillota_A</v>
      </c>
      <c r="C421" s="1">
        <v>172</v>
      </c>
      <c r="D421" s="3">
        <v>2447648</v>
      </c>
      <c r="E421" s="3">
        <f t="shared" si="13"/>
        <v>2.447648</v>
      </c>
      <c r="F421" s="2">
        <v>2010</v>
      </c>
      <c r="G421" s="1">
        <v>14230.5</v>
      </c>
      <c r="H421" s="1">
        <v>184891</v>
      </c>
      <c r="M421" t="s">
        <v>1113</v>
      </c>
      <c r="N421" t="s">
        <v>1589</v>
      </c>
    </row>
    <row r="422" spans="1:14" x14ac:dyDescent="0.25">
      <c r="A422" t="s">
        <v>1114</v>
      </c>
      <c r="B422" t="str">
        <f t="shared" si="12"/>
        <v>p__Bacillota_A</v>
      </c>
      <c r="C422" s="1">
        <v>222</v>
      </c>
      <c r="D422" s="3">
        <v>3258682</v>
      </c>
      <c r="E422" s="3">
        <f t="shared" si="13"/>
        <v>3.2586819999999999</v>
      </c>
      <c r="F422" s="2">
        <v>2006</v>
      </c>
      <c r="G422" s="1">
        <v>14678.7</v>
      </c>
      <c r="H422" s="1">
        <v>396000</v>
      </c>
      <c r="M422" t="s">
        <v>1114</v>
      </c>
      <c r="N422" t="s">
        <v>1589</v>
      </c>
    </row>
    <row r="423" spans="1:14" x14ac:dyDescent="0.25">
      <c r="A423" t="s">
        <v>1115</v>
      </c>
      <c r="B423" t="str">
        <f t="shared" si="12"/>
        <v>p__Bacillota_A</v>
      </c>
      <c r="C423" s="1">
        <v>17</v>
      </c>
      <c r="D423" s="3">
        <v>2755021</v>
      </c>
      <c r="E423" s="3">
        <f t="shared" si="13"/>
        <v>2.7550210000000002</v>
      </c>
      <c r="F423" s="1">
        <v>2176</v>
      </c>
      <c r="G423" s="2">
        <v>162060.1</v>
      </c>
      <c r="H423" s="1">
        <v>977664</v>
      </c>
      <c r="M423" t="s">
        <v>1115</v>
      </c>
      <c r="N423" t="s">
        <v>1589</v>
      </c>
    </row>
    <row r="424" spans="1:14" x14ac:dyDescent="0.25">
      <c r="A424" t="s">
        <v>1116</v>
      </c>
      <c r="B424" t="str">
        <f t="shared" si="12"/>
        <v>p__Bacillota_A</v>
      </c>
      <c r="C424" s="1">
        <v>106</v>
      </c>
      <c r="D424" s="3">
        <v>2173946</v>
      </c>
      <c r="E424" s="3">
        <f t="shared" si="13"/>
        <v>2.1739459999999999</v>
      </c>
      <c r="F424" s="2">
        <v>2016</v>
      </c>
      <c r="G424" s="1">
        <v>20508.900000000001</v>
      </c>
      <c r="H424" s="1">
        <v>120904</v>
      </c>
      <c r="M424" t="s">
        <v>1116</v>
      </c>
      <c r="N424" t="s">
        <v>1589</v>
      </c>
    </row>
    <row r="425" spans="1:14" x14ac:dyDescent="0.25">
      <c r="A425" t="s">
        <v>1117</v>
      </c>
      <c r="B425" t="str">
        <f t="shared" si="12"/>
        <v>p__Bacillota_A</v>
      </c>
      <c r="C425" s="1">
        <v>15</v>
      </c>
      <c r="D425" s="3">
        <v>3073491</v>
      </c>
      <c r="E425" s="3">
        <f t="shared" si="13"/>
        <v>3.0734910000000002</v>
      </c>
      <c r="F425" s="1">
        <v>15596</v>
      </c>
      <c r="G425" s="2">
        <v>204899.4</v>
      </c>
      <c r="H425" s="1">
        <v>771141</v>
      </c>
      <c r="M425" t="s">
        <v>1117</v>
      </c>
      <c r="N425" t="s">
        <v>1589</v>
      </c>
    </row>
    <row r="426" spans="1:14" x14ac:dyDescent="0.25">
      <c r="A426" t="s">
        <v>1118</v>
      </c>
      <c r="B426" t="str">
        <f t="shared" si="12"/>
        <v>p__Bacillota_A</v>
      </c>
      <c r="C426" s="1">
        <v>1</v>
      </c>
      <c r="D426" s="3">
        <v>2014920</v>
      </c>
      <c r="E426" s="3">
        <f t="shared" si="13"/>
        <v>2.01492</v>
      </c>
      <c r="F426" s="1">
        <v>2014920</v>
      </c>
      <c r="G426" s="1">
        <v>2014920</v>
      </c>
      <c r="H426" s="1">
        <v>2014920</v>
      </c>
      <c r="M426" t="s">
        <v>1118</v>
      </c>
      <c r="N426" t="s">
        <v>1589</v>
      </c>
    </row>
    <row r="427" spans="1:14" x14ac:dyDescent="0.25">
      <c r="A427" t="s">
        <v>1119</v>
      </c>
      <c r="B427" t="str">
        <f t="shared" si="12"/>
        <v>p__Bacillota_A</v>
      </c>
      <c r="C427" s="1">
        <v>17</v>
      </c>
      <c r="D427" s="3">
        <v>2032662</v>
      </c>
      <c r="E427" s="3">
        <f t="shared" si="13"/>
        <v>2.0326620000000002</v>
      </c>
      <c r="F427" s="1">
        <v>2096</v>
      </c>
      <c r="G427" s="2">
        <v>119568.4</v>
      </c>
      <c r="H427" s="1">
        <v>428365</v>
      </c>
      <c r="M427" t="s">
        <v>1119</v>
      </c>
      <c r="N427" t="s">
        <v>1589</v>
      </c>
    </row>
    <row r="428" spans="1:14" x14ac:dyDescent="0.25">
      <c r="A428" t="s">
        <v>1120</v>
      </c>
      <c r="B428" t="str">
        <f t="shared" si="12"/>
        <v>p__Bacillota_A</v>
      </c>
      <c r="C428" s="1">
        <v>66</v>
      </c>
      <c r="D428" s="3">
        <v>2201988</v>
      </c>
      <c r="E428" s="3">
        <f t="shared" si="13"/>
        <v>2.2019880000000001</v>
      </c>
      <c r="F428" s="1">
        <v>2003</v>
      </c>
      <c r="G428" s="2">
        <v>33363.5</v>
      </c>
      <c r="H428" s="1">
        <v>273619</v>
      </c>
      <c r="M428" t="s">
        <v>1120</v>
      </c>
      <c r="N428" t="s">
        <v>1589</v>
      </c>
    </row>
    <row r="429" spans="1:14" x14ac:dyDescent="0.25">
      <c r="A429" t="s">
        <v>1121</v>
      </c>
      <c r="B429" t="str">
        <f t="shared" si="12"/>
        <v>p__Bacillota_A</v>
      </c>
      <c r="C429" s="1">
        <v>334</v>
      </c>
      <c r="D429" s="3">
        <v>1485349</v>
      </c>
      <c r="E429" s="3">
        <f t="shared" si="13"/>
        <v>1.485349</v>
      </c>
      <c r="F429" s="2">
        <v>2003</v>
      </c>
      <c r="G429" s="1">
        <v>4447.2</v>
      </c>
      <c r="H429" s="1">
        <v>48382</v>
      </c>
      <c r="M429" t="s">
        <v>1121</v>
      </c>
      <c r="N429" t="s">
        <v>1589</v>
      </c>
    </row>
    <row r="430" spans="1:14" x14ac:dyDescent="0.25">
      <c r="A430" t="s">
        <v>1122</v>
      </c>
      <c r="B430" t="str">
        <f t="shared" si="12"/>
        <v>p__Bacillota_A</v>
      </c>
      <c r="C430" s="1">
        <v>23</v>
      </c>
      <c r="D430" s="3">
        <v>2845022</v>
      </c>
      <c r="E430" s="3">
        <f t="shared" si="13"/>
        <v>2.8450220000000002</v>
      </c>
      <c r="F430" s="1">
        <v>6459</v>
      </c>
      <c r="G430" s="2">
        <v>123696.6</v>
      </c>
      <c r="H430" s="1">
        <v>841147</v>
      </c>
      <c r="M430" t="s">
        <v>1122</v>
      </c>
      <c r="N430" t="s">
        <v>1589</v>
      </c>
    </row>
    <row r="431" spans="1:14" x14ac:dyDescent="0.25">
      <c r="A431" t="s">
        <v>1123</v>
      </c>
      <c r="B431" t="str">
        <f t="shared" si="12"/>
        <v>p__Bacillota_A</v>
      </c>
      <c r="C431" s="1">
        <v>66</v>
      </c>
      <c r="D431" s="3">
        <v>1759036</v>
      </c>
      <c r="E431" s="3">
        <f t="shared" si="13"/>
        <v>1.759036</v>
      </c>
      <c r="F431" s="1">
        <v>2015</v>
      </c>
      <c r="G431" s="2">
        <v>26652.1</v>
      </c>
      <c r="H431" s="1">
        <v>169190</v>
      </c>
      <c r="M431" t="s">
        <v>1123</v>
      </c>
      <c r="N431" t="s">
        <v>1589</v>
      </c>
    </row>
    <row r="432" spans="1:14" x14ac:dyDescent="0.25">
      <c r="A432" t="s">
        <v>1124</v>
      </c>
      <c r="B432" t="str">
        <f t="shared" si="12"/>
        <v>p__Bacillota_A</v>
      </c>
      <c r="C432" s="1">
        <v>116</v>
      </c>
      <c r="D432" s="3">
        <v>2173287</v>
      </c>
      <c r="E432" s="3">
        <f t="shared" si="13"/>
        <v>2.1732870000000002</v>
      </c>
      <c r="F432" s="2">
        <v>2565</v>
      </c>
      <c r="G432" s="1">
        <v>18735.2</v>
      </c>
      <c r="H432" s="1">
        <v>186678</v>
      </c>
      <c r="M432" t="s">
        <v>1124</v>
      </c>
      <c r="N432" t="s">
        <v>1589</v>
      </c>
    </row>
    <row r="433" spans="1:14" x14ac:dyDescent="0.25">
      <c r="A433" t="s">
        <v>1125</v>
      </c>
      <c r="B433" t="str">
        <f t="shared" si="12"/>
        <v>p__Bacillota_A</v>
      </c>
      <c r="C433" s="1">
        <v>51</v>
      </c>
      <c r="D433" s="3">
        <v>3653553</v>
      </c>
      <c r="E433" s="3">
        <f t="shared" si="13"/>
        <v>3.6535530000000001</v>
      </c>
      <c r="F433" s="1">
        <v>2571</v>
      </c>
      <c r="G433" s="2">
        <v>71638.3</v>
      </c>
      <c r="H433" s="1">
        <v>392514</v>
      </c>
      <c r="M433" t="s">
        <v>1125</v>
      </c>
      <c r="N433" t="s">
        <v>1589</v>
      </c>
    </row>
    <row r="434" spans="1:14" x14ac:dyDescent="0.25">
      <c r="A434" t="s">
        <v>1126</v>
      </c>
      <c r="B434" t="str">
        <f t="shared" si="12"/>
        <v>p__Bacillota_A</v>
      </c>
      <c r="C434" s="1">
        <v>35</v>
      </c>
      <c r="D434" s="3">
        <v>3153050</v>
      </c>
      <c r="E434" s="3">
        <f t="shared" si="13"/>
        <v>3.1530499999999999</v>
      </c>
      <c r="F434" s="1">
        <v>2826</v>
      </c>
      <c r="G434" s="2">
        <v>90087.1</v>
      </c>
      <c r="H434" s="1">
        <v>1927391</v>
      </c>
      <c r="M434" t="s">
        <v>1126</v>
      </c>
      <c r="N434" t="s">
        <v>1589</v>
      </c>
    </row>
    <row r="435" spans="1:14" x14ac:dyDescent="0.25">
      <c r="A435" t="s">
        <v>1127</v>
      </c>
      <c r="B435" t="str">
        <f t="shared" si="12"/>
        <v>p__Bacillota_A</v>
      </c>
      <c r="C435" s="1">
        <v>55</v>
      </c>
      <c r="D435" s="3">
        <v>1547034</v>
      </c>
      <c r="E435" s="3">
        <f t="shared" si="13"/>
        <v>1.547034</v>
      </c>
      <c r="F435" s="1">
        <v>2103</v>
      </c>
      <c r="G435" s="2">
        <v>28127.9</v>
      </c>
      <c r="H435" s="1">
        <v>123809</v>
      </c>
      <c r="M435" t="s">
        <v>1127</v>
      </c>
      <c r="N435" t="s">
        <v>1589</v>
      </c>
    </row>
    <row r="436" spans="1:14" x14ac:dyDescent="0.25">
      <c r="A436" t="s">
        <v>1128</v>
      </c>
      <c r="B436" t="str">
        <f t="shared" si="12"/>
        <v>p__Bacillota_A</v>
      </c>
      <c r="C436" s="1">
        <v>51</v>
      </c>
      <c r="D436" s="3">
        <v>1916677</v>
      </c>
      <c r="E436" s="3">
        <f t="shared" si="13"/>
        <v>1.916677</v>
      </c>
      <c r="F436" s="1">
        <v>2899</v>
      </c>
      <c r="G436" s="2">
        <v>37581.9</v>
      </c>
      <c r="H436" s="1">
        <v>209182</v>
      </c>
      <c r="M436" t="s">
        <v>1128</v>
      </c>
      <c r="N436" t="s">
        <v>1589</v>
      </c>
    </row>
    <row r="437" spans="1:14" x14ac:dyDescent="0.25">
      <c r="A437" t="s">
        <v>1129</v>
      </c>
      <c r="B437" t="str">
        <f t="shared" si="12"/>
        <v>p__Bacillota_A</v>
      </c>
      <c r="C437" s="1">
        <v>15</v>
      </c>
      <c r="D437" s="3">
        <v>2140318</v>
      </c>
      <c r="E437" s="3">
        <f t="shared" si="13"/>
        <v>2.1403180000000002</v>
      </c>
      <c r="F437" s="1">
        <v>2449</v>
      </c>
      <c r="G437" s="2">
        <v>142687.9</v>
      </c>
      <c r="H437" s="1">
        <v>1558321</v>
      </c>
      <c r="M437" t="s">
        <v>1129</v>
      </c>
      <c r="N437" t="s">
        <v>1589</v>
      </c>
    </row>
    <row r="438" spans="1:14" x14ac:dyDescent="0.25">
      <c r="A438" t="s">
        <v>1130</v>
      </c>
      <c r="B438" t="str">
        <f t="shared" si="12"/>
        <v>p__Bacillota_A</v>
      </c>
      <c r="C438" s="1">
        <v>51</v>
      </c>
      <c r="D438" s="3">
        <v>1360528</v>
      </c>
      <c r="E438" s="3">
        <f t="shared" si="13"/>
        <v>1.360528</v>
      </c>
      <c r="F438" s="1">
        <v>2766</v>
      </c>
      <c r="G438" s="1">
        <v>26677</v>
      </c>
      <c r="H438" s="1">
        <v>78167</v>
      </c>
      <c r="M438" t="s">
        <v>1130</v>
      </c>
      <c r="N438" t="s">
        <v>1589</v>
      </c>
    </row>
    <row r="439" spans="1:14" x14ac:dyDescent="0.25">
      <c r="A439" t="s">
        <v>1131</v>
      </c>
      <c r="B439" t="str">
        <f t="shared" si="12"/>
        <v>p__Bacillota_A</v>
      </c>
      <c r="C439" s="1">
        <v>39</v>
      </c>
      <c r="D439" s="3">
        <v>1901698</v>
      </c>
      <c r="E439" s="3">
        <f t="shared" si="13"/>
        <v>1.9016980000000001</v>
      </c>
      <c r="F439" s="1">
        <v>4909</v>
      </c>
      <c r="G439" s="2">
        <v>48761.5</v>
      </c>
      <c r="H439" s="1">
        <v>240627</v>
      </c>
      <c r="M439" t="s">
        <v>1131</v>
      </c>
      <c r="N439" t="s">
        <v>1589</v>
      </c>
    </row>
    <row r="440" spans="1:14" x14ac:dyDescent="0.25">
      <c r="A440" t="s">
        <v>1132</v>
      </c>
      <c r="B440" t="str">
        <f t="shared" si="12"/>
        <v>p__Bacillota_A</v>
      </c>
      <c r="C440" s="1">
        <v>27</v>
      </c>
      <c r="D440" s="3">
        <v>2617989</v>
      </c>
      <c r="E440" s="3">
        <f t="shared" si="13"/>
        <v>2.6179890000000001</v>
      </c>
      <c r="F440" s="1">
        <v>13604</v>
      </c>
      <c r="G440" s="2">
        <v>96962.6</v>
      </c>
      <c r="H440" s="1">
        <v>320860</v>
      </c>
      <c r="M440" t="s">
        <v>1132</v>
      </c>
      <c r="N440" t="s">
        <v>1589</v>
      </c>
    </row>
    <row r="441" spans="1:14" x14ac:dyDescent="0.25">
      <c r="A441" t="s">
        <v>1133</v>
      </c>
      <c r="B441" t="str">
        <f t="shared" si="12"/>
        <v>p__Bacillota_A</v>
      </c>
      <c r="C441" s="1">
        <v>18</v>
      </c>
      <c r="D441" s="3">
        <v>5199688</v>
      </c>
      <c r="E441" s="3">
        <f t="shared" si="13"/>
        <v>5.1996880000000001</v>
      </c>
      <c r="F441" s="1">
        <v>12930</v>
      </c>
      <c r="G441" s="2">
        <v>288871.59999999998</v>
      </c>
      <c r="H441" s="1">
        <v>1180349</v>
      </c>
      <c r="M441" t="s">
        <v>1133</v>
      </c>
      <c r="N441" t="s">
        <v>1589</v>
      </c>
    </row>
    <row r="442" spans="1:14" x14ac:dyDescent="0.25">
      <c r="A442" t="s">
        <v>1134</v>
      </c>
      <c r="B442" t="str">
        <f t="shared" si="12"/>
        <v>p__Bacillota_A</v>
      </c>
      <c r="C442" s="1">
        <v>38</v>
      </c>
      <c r="D442" s="3">
        <v>1448544</v>
      </c>
      <c r="E442" s="3">
        <f t="shared" si="13"/>
        <v>1.4485440000000001</v>
      </c>
      <c r="F442" s="1">
        <v>2148</v>
      </c>
      <c r="G442" s="2">
        <v>38119.599999999999</v>
      </c>
      <c r="H442" s="1">
        <v>153342</v>
      </c>
      <c r="M442" t="s">
        <v>1134</v>
      </c>
      <c r="N442" t="s">
        <v>1589</v>
      </c>
    </row>
    <row r="443" spans="1:14" x14ac:dyDescent="0.25">
      <c r="A443" t="s">
        <v>1135</v>
      </c>
      <c r="B443" t="str">
        <f t="shared" si="12"/>
        <v>p__Bacillota_A</v>
      </c>
      <c r="C443" s="1">
        <v>120</v>
      </c>
      <c r="D443" s="3">
        <v>3076537</v>
      </c>
      <c r="E443" s="3">
        <f t="shared" si="13"/>
        <v>3.0765370000000001</v>
      </c>
      <c r="F443" s="2">
        <v>2008</v>
      </c>
      <c r="G443" s="1">
        <v>25637.8</v>
      </c>
      <c r="H443" s="1">
        <v>170400</v>
      </c>
      <c r="M443" t="s">
        <v>1135</v>
      </c>
      <c r="N443" t="s">
        <v>1589</v>
      </c>
    </row>
    <row r="444" spans="1:14" x14ac:dyDescent="0.25">
      <c r="A444" t="s">
        <v>1136</v>
      </c>
      <c r="B444" t="str">
        <f t="shared" si="12"/>
        <v>p__Bacillota_A</v>
      </c>
      <c r="C444" s="1">
        <v>31</v>
      </c>
      <c r="D444" s="3">
        <v>2035431</v>
      </c>
      <c r="E444" s="3">
        <f t="shared" si="13"/>
        <v>2.035431</v>
      </c>
      <c r="F444" s="1">
        <v>4619</v>
      </c>
      <c r="G444" s="2">
        <v>65659.100000000006</v>
      </c>
      <c r="H444" s="1">
        <v>420489</v>
      </c>
      <c r="M444" t="s">
        <v>1136</v>
      </c>
      <c r="N444" t="s">
        <v>1589</v>
      </c>
    </row>
    <row r="445" spans="1:14" x14ac:dyDescent="0.25">
      <c r="A445" t="s">
        <v>1137</v>
      </c>
      <c r="B445" t="str">
        <f t="shared" si="12"/>
        <v>p__Bacillota_A</v>
      </c>
      <c r="C445" s="1">
        <v>27</v>
      </c>
      <c r="D445" s="3">
        <v>2843424</v>
      </c>
      <c r="E445" s="3">
        <f t="shared" si="13"/>
        <v>2.8434240000000002</v>
      </c>
      <c r="F445" s="1">
        <v>2421</v>
      </c>
      <c r="G445" s="1">
        <v>105312</v>
      </c>
      <c r="H445" s="1">
        <v>486386</v>
      </c>
      <c r="M445" t="s">
        <v>1137</v>
      </c>
      <c r="N445" t="s">
        <v>1589</v>
      </c>
    </row>
    <row r="446" spans="1:14" x14ac:dyDescent="0.25">
      <c r="A446" t="s">
        <v>1138</v>
      </c>
      <c r="B446" t="str">
        <f t="shared" si="12"/>
        <v>p__Bacillota_A</v>
      </c>
      <c r="C446" s="1">
        <v>266</v>
      </c>
      <c r="D446" s="3">
        <v>2577092</v>
      </c>
      <c r="E446" s="3">
        <f t="shared" si="13"/>
        <v>2.5770919999999999</v>
      </c>
      <c r="F446" s="2">
        <v>2001</v>
      </c>
      <c r="G446" s="1">
        <v>9688.2999999999993</v>
      </c>
      <c r="H446" s="1">
        <v>199527</v>
      </c>
      <c r="M446" t="s">
        <v>1138</v>
      </c>
      <c r="N446" t="s">
        <v>1589</v>
      </c>
    </row>
    <row r="447" spans="1:14" x14ac:dyDescent="0.25">
      <c r="A447" t="s">
        <v>1139</v>
      </c>
      <c r="B447" t="str">
        <f t="shared" si="12"/>
        <v>p__Bacillota_A</v>
      </c>
      <c r="C447" s="1">
        <v>6</v>
      </c>
      <c r="D447" s="3">
        <v>2557903</v>
      </c>
      <c r="E447" s="3">
        <f t="shared" si="13"/>
        <v>2.557903</v>
      </c>
      <c r="F447" s="1">
        <v>43116</v>
      </c>
      <c r="G447" s="2">
        <v>426317.2</v>
      </c>
      <c r="H447" s="1">
        <v>1221704</v>
      </c>
      <c r="M447" t="s">
        <v>1139</v>
      </c>
      <c r="N447" t="s">
        <v>1589</v>
      </c>
    </row>
    <row r="448" spans="1:14" x14ac:dyDescent="0.25">
      <c r="A448" t="s">
        <v>1140</v>
      </c>
      <c r="B448" t="str">
        <f t="shared" si="12"/>
        <v>p__Bacillota_A</v>
      </c>
      <c r="C448" s="1">
        <v>16</v>
      </c>
      <c r="D448" s="3">
        <v>3211673</v>
      </c>
      <c r="E448" s="3">
        <f t="shared" si="13"/>
        <v>3.2116730000000002</v>
      </c>
      <c r="F448" s="1">
        <v>2047</v>
      </c>
      <c r="G448" s="2">
        <v>200729.60000000001</v>
      </c>
      <c r="H448" s="1">
        <v>1197766</v>
      </c>
      <c r="M448" t="s">
        <v>1140</v>
      </c>
      <c r="N448" t="s">
        <v>1589</v>
      </c>
    </row>
    <row r="449" spans="1:14" x14ac:dyDescent="0.25">
      <c r="A449" t="s">
        <v>1141</v>
      </c>
      <c r="B449" t="str">
        <f t="shared" si="12"/>
        <v>p__Bacillota_A</v>
      </c>
      <c r="C449" s="1">
        <v>23</v>
      </c>
      <c r="D449" s="3">
        <v>2572459</v>
      </c>
      <c r="E449" s="3">
        <f t="shared" si="13"/>
        <v>2.5724589999999998</v>
      </c>
      <c r="F449" s="1">
        <v>5134</v>
      </c>
      <c r="G449" s="1">
        <v>111846</v>
      </c>
      <c r="H449" s="1">
        <v>727409</v>
      </c>
      <c r="M449" t="s">
        <v>1141</v>
      </c>
      <c r="N449" t="s">
        <v>1589</v>
      </c>
    </row>
    <row r="450" spans="1:14" x14ac:dyDescent="0.25">
      <c r="A450" t="s">
        <v>1142</v>
      </c>
      <c r="B450" t="str">
        <f t="shared" ref="B450:B513" si="14">VLOOKUP(A450,M:N,2,FALSE)</f>
        <v>p__Bacillota_A</v>
      </c>
      <c r="C450" s="1">
        <v>91</v>
      </c>
      <c r="D450" s="3">
        <v>4547256</v>
      </c>
      <c r="E450" s="3">
        <f t="shared" ref="E450:E513" si="15">D450/1000000</f>
        <v>4.547256</v>
      </c>
      <c r="F450" s="1">
        <v>2058</v>
      </c>
      <c r="G450" s="2">
        <v>49969.8</v>
      </c>
      <c r="H450" s="1">
        <v>245277</v>
      </c>
      <c r="M450" t="s">
        <v>1142</v>
      </c>
      <c r="N450" t="s">
        <v>1589</v>
      </c>
    </row>
    <row r="451" spans="1:14" x14ac:dyDescent="0.25">
      <c r="A451" t="s">
        <v>1143</v>
      </c>
      <c r="B451" t="str">
        <f t="shared" si="14"/>
        <v>p__Bacillota_A</v>
      </c>
      <c r="C451" s="1">
        <v>22</v>
      </c>
      <c r="D451" s="3">
        <v>3909447</v>
      </c>
      <c r="E451" s="3">
        <f t="shared" si="15"/>
        <v>3.9094470000000001</v>
      </c>
      <c r="F451" s="1">
        <v>16339</v>
      </c>
      <c r="G451" s="2">
        <v>177702.1</v>
      </c>
      <c r="H451" s="1">
        <v>855122</v>
      </c>
      <c r="M451" t="s">
        <v>1143</v>
      </c>
      <c r="N451" t="s">
        <v>1589</v>
      </c>
    </row>
    <row r="452" spans="1:14" x14ac:dyDescent="0.25">
      <c r="A452" t="s">
        <v>1144</v>
      </c>
      <c r="B452" t="str">
        <f t="shared" si="14"/>
        <v>p__Bacillota_A</v>
      </c>
      <c r="C452" s="1">
        <v>37</v>
      </c>
      <c r="D452" s="3">
        <v>5243356</v>
      </c>
      <c r="E452" s="3">
        <f t="shared" si="15"/>
        <v>5.2433560000000003</v>
      </c>
      <c r="F452" s="1">
        <v>5784</v>
      </c>
      <c r="G452" s="2">
        <v>141712.29999999999</v>
      </c>
      <c r="H452" s="1">
        <v>601719</v>
      </c>
      <c r="M452" t="s">
        <v>1144</v>
      </c>
      <c r="N452" t="s">
        <v>1589</v>
      </c>
    </row>
    <row r="453" spans="1:14" x14ac:dyDescent="0.25">
      <c r="A453" t="s">
        <v>1145</v>
      </c>
      <c r="B453" t="str">
        <f t="shared" si="14"/>
        <v>p__Bacillota_A</v>
      </c>
      <c r="C453" s="1">
        <v>93</v>
      </c>
      <c r="D453" s="3">
        <v>4591753</v>
      </c>
      <c r="E453" s="3">
        <f t="shared" si="15"/>
        <v>4.5917529999999998</v>
      </c>
      <c r="F453" s="1">
        <v>2547</v>
      </c>
      <c r="G453" s="2">
        <v>49373.7</v>
      </c>
      <c r="H453" s="1">
        <v>249484</v>
      </c>
      <c r="M453" t="s">
        <v>1145</v>
      </c>
      <c r="N453" t="s">
        <v>1589</v>
      </c>
    </row>
    <row r="454" spans="1:14" x14ac:dyDescent="0.25">
      <c r="A454" t="s">
        <v>1146</v>
      </c>
      <c r="B454" t="str">
        <f t="shared" si="14"/>
        <v>p__Bacillota_A</v>
      </c>
      <c r="C454" s="1">
        <v>10</v>
      </c>
      <c r="D454" s="3">
        <v>2689072</v>
      </c>
      <c r="E454" s="3">
        <f t="shared" si="15"/>
        <v>2.6890719999999999</v>
      </c>
      <c r="F454" s="1">
        <v>18752</v>
      </c>
      <c r="G454" s="2">
        <v>268907.2</v>
      </c>
      <c r="H454" s="1">
        <v>672449</v>
      </c>
      <c r="M454" t="s">
        <v>1146</v>
      </c>
      <c r="N454" t="s">
        <v>1589</v>
      </c>
    </row>
    <row r="455" spans="1:14" x14ac:dyDescent="0.25">
      <c r="A455" t="s">
        <v>1147</v>
      </c>
      <c r="B455" t="str">
        <f t="shared" si="14"/>
        <v>p__Bacillota_A</v>
      </c>
      <c r="C455" s="1">
        <v>39</v>
      </c>
      <c r="D455" s="3">
        <v>3549500</v>
      </c>
      <c r="E455" s="3">
        <f t="shared" si="15"/>
        <v>3.5495000000000001</v>
      </c>
      <c r="F455" s="1">
        <v>2223</v>
      </c>
      <c r="G455" s="2">
        <v>91012.800000000003</v>
      </c>
      <c r="H455" s="1">
        <v>913325</v>
      </c>
      <c r="M455" t="s">
        <v>1147</v>
      </c>
      <c r="N455" t="s">
        <v>1589</v>
      </c>
    </row>
    <row r="456" spans="1:14" x14ac:dyDescent="0.25">
      <c r="A456" t="s">
        <v>1148</v>
      </c>
      <c r="B456" t="str">
        <f t="shared" si="14"/>
        <v>p__Bacillota_A</v>
      </c>
      <c r="C456" s="1">
        <v>62</v>
      </c>
      <c r="D456" s="3">
        <v>2914185</v>
      </c>
      <c r="E456" s="3">
        <f t="shared" si="15"/>
        <v>2.9141849999999998</v>
      </c>
      <c r="F456" s="1">
        <v>2809</v>
      </c>
      <c r="G456" s="1">
        <v>47003</v>
      </c>
      <c r="H456" s="1">
        <v>386512</v>
      </c>
      <c r="M456" t="s">
        <v>1148</v>
      </c>
      <c r="N456" t="s">
        <v>1589</v>
      </c>
    </row>
    <row r="457" spans="1:14" x14ac:dyDescent="0.25">
      <c r="A457" t="s">
        <v>1149</v>
      </c>
      <c r="B457" t="str">
        <f t="shared" si="14"/>
        <v>p__Bacillota_A</v>
      </c>
      <c r="C457" s="1">
        <v>6</v>
      </c>
      <c r="D457" s="3">
        <v>2387030</v>
      </c>
      <c r="E457" s="3">
        <f t="shared" si="15"/>
        <v>2.3870300000000002</v>
      </c>
      <c r="F457" s="1">
        <v>7390</v>
      </c>
      <c r="G457" s="2">
        <v>397838.3</v>
      </c>
      <c r="H457" s="1">
        <v>852330</v>
      </c>
      <c r="M457" t="s">
        <v>1149</v>
      </c>
      <c r="N457" t="s">
        <v>1589</v>
      </c>
    </row>
    <row r="458" spans="1:14" x14ac:dyDescent="0.25">
      <c r="A458" t="s">
        <v>1150</v>
      </c>
      <c r="B458" t="str">
        <f t="shared" si="14"/>
        <v>p__Bacillota_A</v>
      </c>
      <c r="C458" s="1">
        <v>18</v>
      </c>
      <c r="D458" s="3">
        <v>3655706</v>
      </c>
      <c r="E458" s="3">
        <f t="shared" si="15"/>
        <v>3.6557059999999999</v>
      </c>
      <c r="F458" s="1">
        <v>16745</v>
      </c>
      <c r="G458" s="2">
        <v>203094.8</v>
      </c>
      <c r="H458" s="1">
        <v>685412</v>
      </c>
      <c r="M458" t="s">
        <v>1150</v>
      </c>
      <c r="N458" t="s">
        <v>1589</v>
      </c>
    </row>
    <row r="459" spans="1:14" x14ac:dyDescent="0.25">
      <c r="A459" t="s">
        <v>1151</v>
      </c>
      <c r="B459" t="str">
        <f t="shared" si="14"/>
        <v>p__Bacillota_A</v>
      </c>
      <c r="C459" s="1">
        <v>30</v>
      </c>
      <c r="D459" s="3">
        <v>2790212</v>
      </c>
      <c r="E459" s="3">
        <f t="shared" si="15"/>
        <v>2.7902119999999999</v>
      </c>
      <c r="F459" s="1">
        <v>5044</v>
      </c>
      <c r="G459" s="2">
        <v>93007.1</v>
      </c>
      <c r="H459" s="1">
        <v>315405</v>
      </c>
      <c r="M459" t="s">
        <v>1151</v>
      </c>
      <c r="N459" t="s">
        <v>1589</v>
      </c>
    </row>
    <row r="460" spans="1:14" x14ac:dyDescent="0.25">
      <c r="A460" t="s">
        <v>1152</v>
      </c>
      <c r="B460" t="str">
        <f t="shared" si="14"/>
        <v>p__Bacillota_A</v>
      </c>
      <c r="C460" s="1">
        <v>781</v>
      </c>
      <c r="D460" s="3">
        <v>5195864</v>
      </c>
      <c r="E460" s="3">
        <f t="shared" si="15"/>
        <v>5.1958640000000003</v>
      </c>
      <c r="F460" s="2">
        <v>2510</v>
      </c>
      <c r="G460" s="1">
        <v>6652.8</v>
      </c>
      <c r="H460" s="1">
        <v>88955</v>
      </c>
      <c r="M460" t="s">
        <v>1152</v>
      </c>
      <c r="N460" t="s">
        <v>1589</v>
      </c>
    </row>
    <row r="461" spans="1:14" x14ac:dyDescent="0.25">
      <c r="A461" t="s">
        <v>1153</v>
      </c>
      <c r="B461" t="str">
        <f t="shared" si="14"/>
        <v>p__Bacillota_A</v>
      </c>
      <c r="C461" s="1">
        <v>10</v>
      </c>
      <c r="D461" s="3">
        <v>3911889</v>
      </c>
      <c r="E461" s="3">
        <f t="shared" si="15"/>
        <v>3.9118889999999999</v>
      </c>
      <c r="F461" s="1">
        <v>15687</v>
      </c>
      <c r="G461" s="2">
        <v>391188.9</v>
      </c>
      <c r="H461" s="1">
        <v>985895</v>
      </c>
      <c r="M461" t="s">
        <v>1153</v>
      </c>
      <c r="N461" t="s">
        <v>1589</v>
      </c>
    </row>
    <row r="462" spans="1:14" x14ac:dyDescent="0.25">
      <c r="A462" t="s">
        <v>1154</v>
      </c>
      <c r="B462" t="str">
        <f t="shared" si="14"/>
        <v>p__Bacillota_A</v>
      </c>
      <c r="C462" s="1">
        <v>26</v>
      </c>
      <c r="D462" s="3">
        <v>4255492</v>
      </c>
      <c r="E462" s="3">
        <f t="shared" si="15"/>
        <v>4.2554920000000003</v>
      </c>
      <c r="F462" s="1">
        <v>7224</v>
      </c>
      <c r="G462" s="2">
        <v>163672.79999999999</v>
      </c>
      <c r="H462" s="1">
        <v>918703</v>
      </c>
      <c r="M462" t="s">
        <v>1154</v>
      </c>
      <c r="N462" t="s">
        <v>1589</v>
      </c>
    </row>
    <row r="463" spans="1:14" x14ac:dyDescent="0.25">
      <c r="A463" t="s">
        <v>1155</v>
      </c>
      <c r="B463" t="str">
        <f t="shared" si="14"/>
        <v>p__Bacillota_A</v>
      </c>
      <c r="C463" s="1">
        <v>20</v>
      </c>
      <c r="D463" s="3">
        <v>4639895</v>
      </c>
      <c r="E463" s="3">
        <f t="shared" si="15"/>
        <v>4.6398950000000001</v>
      </c>
      <c r="F463" s="1">
        <v>8312</v>
      </c>
      <c r="G463" s="2">
        <v>231994.8</v>
      </c>
      <c r="H463" s="1">
        <v>849505</v>
      </c>
      <c r="M463" t="s">
        <v>1155</v>
      </c>
      <c r="N463" t="s">
        <v>1589</v>
      </c>
    </row>
    <row r="464" spans="1:14" x14ac:dyDescent="0.25">
      <c r="A464" t="s">
        <v>1156</v>
      </c>
      <c r="B464" t="str">
        <f t="shared" si="14"/>
        <v>p__Bacillota_A</v>
      </c>
      <c r="C464" s="1">
        <v>45</v>
      </c>
      <c r="D464" s="3">
        <v>5299571</v>
      </c>
      <c r="E464" s="3">
        <f t="shared" si="15"/>
        <v>5.2995710000000003</v>
      </c>
      <c r="F464" s="1">
        <v>8072</v>
      </c>
      <c r="G464" s="2">
        <v>117768.2</v>
      </c>
      <c r="H464" s="1">
        <v>514654</v>
      </c>
      <c r="M464" t="s">
        <v>1156</v>
      </c>
      <c r="N464" t="s">
        <v>1589</v>
      </c>
    </row>
    <row r="465" spans="1:14" x14ac:dyDescent="0.25">
      <c r="A465" t="s">
        <v>1157</v>
      </c>
      <c r="B465" t="str">
        <f t="shared" si="14"/>
        <v>p__Bacillota_A</v>
      </c>
      <c r="C465" s="1">
        <v>20</v>
      </c>
      <c r="D465" s="3">
        <v>2578318</v>
      </c>
      <c r="E465" s="3">
        <f t="shared" si="15"/>
        <v>2.5783179999999999</v>
      </c>
      <c r="F465" s="1">
        <v>4056</v>
      </c>
      <c r="G465" s="2">
        <v>128915.9</v>
      </c>
      <c r="H465" s="1">
        <v>448097</v>
      </c>
      <c r="M465" t="s">
        <v>1157</v>
      </c>
      <c r="N465" t="s">
        <v>1589</v>
      </c>
    </row>
    <row r="466" spans="1:14" x14ac:dyDescent="0.25">
      <c r="A466" t="s">
        <v>1158</v>
      </c>
      <c r="B466" t="str">
        <f t="shared" si="14"/>
        <v>p__Bacillota_A</v>
      </c>
      <c r="C466" s="1">
        <v>56</v>
      </c>
      <c r="D466" s="3">
        <v>4747454</v>
      </c>
      <c r="E466" s="3">
        <f t="shared" si="15"/>
        <v>4.7474540000000003</v>
      </c>
      <c r="F466" s="1">
        <v>4775</v>
      </c>
      <c r="G466" s="1">
        <v>84776</v>
      </c>
      <c r="H466" s="1">
        <v>389169</v>
      </c>
      <c r="M466" t="s">
        <v>1158</v>
      </c>
      <c r="N466" t="s">
        <v>1589</v>
      </c>
    </row>
    <row r="467" spans="1:14" x14ac:dyDescent="0.25">
      <c r="A467" t="s">
        <v>1159</v>
      </c>
      <c r="B467" t="str">
        <f t="shared" si="14"/>
        <v>p__Bacillota_A</v>
      </c>
      <c r="C467" s="1">
        <v>31</v>
      </c>
      <c r="D467" s="3">
        <v>2936836</v>
      </c>
      <c r="E467" s="3">
        <f t="shared" si="15"/>
        <v>2.936836</v>
      </c>
      <c r="F467" s="1">
        <v>9097</v>
      </c>
      <c r="G467" s="2">
        <v>94736.6</v>
      </c>
      <c r="H467" s="1">
        <v>380491</v>
      </c>
      <c r="M467" t="s">
        <v>1159</v>
      </c>
      <c r="N467" t="s">
        <v>1589</v>
      </c>
    </row>
    <row r="468" spans="1:14" x14ac:dyDescent="0.25">
      <c r="A468" t="s">
        <v>1160</v>
      </c>
      <c r="B468" t="str">
        <f t="shared" si="14"/>
        <v>p__Bacillota_A</v>
      </c>
      <c r="C468" s="1">
        <v>16</v>
      </c>
      <c r="D468" s="3">
        <v>2503630</v>
      </c>
      <c r="E468" s="3">
        <f t="shared" si="15"/>
        <v>2.5036299999999998</v>
      </c>
      <c r="F468" s="1">
        <v>24586</v>
      </c>
      <c r="G468" s="2">
        <v>156476.9</v>
      </c>
      <c r="H468" s="1">
        <v>1127767</v>
      </c>
      <c r="M468" t="s">
        <v>1160</v>
      </c>
      <c r="N468" t="s">
        <v>1589</v>
      </c>
    </row>
    <row r="469" spans="1:14" x14ac:dyDescent="0.25">
      <c r="A469" t="s">
        <v>1161</v>
      </c>
      <c r="B469" t="str">
        <f t="shared" si="14"/>
        <v>p__Bacillota_A</v>
      </c>
      <c r="C469" s="1">
        <v>79</v>
      </c>
      <c r="D469" s="3">
        <v>3721323</v>
      </c>
      <c r="E469" s="3">
        <f t="shared" si="15"/>
        <v>3.7213229999999999</v>
      </c>
      <c r="F469" s="1">
        <v>2044</v>
      </c>
      <c r="G469" s="2">
        <v>47105.4</v>
      </c>
      <c r="H469" s="1">
        <v>394938</v>
      </c>
      <c r="M469" t="s">
        <v>1161</v>
      </c>
      <c r="N469" t="s">
        <v>1589</v>
      </c>
    </row>
    <row r="470" spans="1:14" x14ac:dyDescent="0.25">
      <c r="A470" t="s">
        <v>1162</v>
      </c>
      <c r="B470" t="str">
        <f t="shared" si="14"/>
        <v>p__Bacillota_A</v>
      </c>
      <c r="C470" s="1">
        <v>81</v>
      </c>
      <c r="D470" s="3">
        <v>3780067</v>
      </c>
      <c r="E470" s="3">
        <f t="shared" si="15"/>
        <v>3.7800669999999998</v>
      </c>
      <c r="F470" s="1">
        <v>2023</v>
      </c>
      <c r="G470" s="2">
        <v>46667.5</v>
      </c>
      <c r="H470" s="1">
        <v>323488</v>
      </c>
      <c r="M470" t="s">
        <v>1162</v>
      </c>
      <c r="N470" t="s">
        <v>1589</v>
      </c>
    </row>
    <row r="471" spans="1:14" x14ac:dyDescent="0.25">
      <c r="A471" t="s">
        <v>1163</v>
      </c>
      <c r="B471" t="str">
        <f t="shared" si="14"/>
        <v>p__Bacillota_A</v>
      </c>
      <c r="C471" s="1">
        <v>16</v>
      </c>
      <c r="D471" s="3">
        <v>4249908</v>
      </c>
      <c r="E471" s="3">
        <f t="shared" si="15"/>
        <v>4.2499079999999996</v>
      </c>
      <c r="F471" s="1">
        <v>23347</v>
      </c>
      <c r="G471" s="2">
        <v>265619.3</v>
      </c>
      <c r="H471" s="1">
        <v>708456</v>
      </c>
      <c r="M471" t="s">
        <v>1163</v>
      </c>
      <c r="N471" t="s">
        <v>1589</v>
      </c>
    </row>
    <row r="472" spans="1:14" x14ac:dyDescent="0.25">
      <c r="A472" t="s">
        <v>1164</v>
      </c>
      <c r="B472" t="str">
        <f t="shared" si="14"/>
        <v>p__Bacillota_A</v>
      </c>
      <c r="C472" s="1">
        <v>9</v>
      </c>
      <c r="D472" s="3">
        <v>4030768</v>
      </c>
      <c r="E472" s="3">
        <f t="shared" si="15"/>
        <v>4.0307680000000001</v>
      </c>
      <c r="F472" s="1">
        <v>201846</v>
      </c>
      <c r="G472" s="2">
        <v>447863.1</v>
      </c>
      <c r="H472" s="1">
        <v>998207</v>
      </c>
      <c r="M472" t="s">
        <v>1164</v>
      </c>
      <c r="N472" t="s">
        <v>1589</v>
      </c>
    </row>
    <row r="473" spans="1:14" x14ac:dyDescent="0.25">
      <c r="A473" t="s">
        <v>1165</v>
      </c>
      <c r="B473" t="str">
        <f t="shared" si="14"/>
        <v>p__Bacillota_A</v>
      </c>
      <c r="C473" s="1">
        <v>21</v>
      </c>
      <c r="D473" s="3">
        <v>4063816</v>
      </c>
      <c r="E473" s="3">
        <f t="shared" si="15"/>
        <v>4.0638160000000001</v>
      </c>
      <c r="F473" s="1">
        <v>2375</v>
      </c>
      <c r="G473" s="1">
        <v>193515</v>
      </c>
      <c r="H473" s="1">
        <v>3855066</v>
      </c>
      <c r="M473" t="s">
        <v>1165</v>
      </c>
      <c r="N473" t="s">
        <v>1589</v>
      </c>
    </row>
    <row r="474" spans="1:14" x14ac:dyDescent="0.25">
      <c r="A474" t="s">
        <v>1166</v>
      </c>
      <c r="B474" t="str">
        <f t="shared" si="14"/>
        <v>p__Bacillota_A</v>
      </c>
      <c r="C474" s="1">
        <v>164</v>
      </c>
      <c r="D474" s="3">
        <v>2566035</v>
      </c>
      <c r="E474" s="3">
        <f t="shared" si="15"/>
        <v>2.5660349999999998</v>
      </c>
      <c r="F474" s="2">
        <v>2011</v>
      </c>
      <c r="G474" s="1">
        <v>15646.6</v>
      </c>
      <c r="H474" s="1">
        <v>132822</v>
      </c>
      <c r="M474" t="s">
        <v>1166</v>
      </c>
      <c r="N474" t="s">
        <v>1589</v>
      </c>
    </row>
    <row r="475" spans="1:14" x14ac:dyDescent="0.25">
      <c r="A475" t="s">
        <v>1167</v>
      </c>
      <c r="B475" t="str">
        <f t="shared" si="14"/>
        <v>p__Bacillota_A</v>
      </c>
      <c r="C475" s="1">
        <v>29</v>
      </c>
      <c r="D475" s="3">
        <v>2641929</v>
      </c>
      <c r="E475" s="3">
        <f t="shared" si="15"/>
        <v>2.6419290000000002</v>
      </c>
      <c r="F475" s="1">
        <v>2035</v>
      </c>
      <c r="G475" s="1">
        <v>91101</v>
      </c>
      <c r="H475" s="1">
        <v>334909</v>
      </c>
      <c r="M475" t="s">
        <v>1167</v>
      </c>
      <c r="N475" t="s">
        <v>1589</v>
      </c>
    </row>
    <row r="476" spans="1:14" x14ac:dyDescent="0.25">
      <c r="A476" t="s">
        <v>1168</v>
      </c>
      <c r="B476" t="str">
        <f t="shared" si="14"/>
        <v>p__Bacillota_A</v>
      </c>
      <c r="C476" s="1">
        <v>7</v>
      </c>
      <c r="D476" s="3">
        <v>2152927</v>
      </c>
      <c r="E476" s="3">
        <f t="shared" si="15"/>
        <v>2.152927</v>
      </c>
      <c r="F476" s="1">
        <v>6681</v>
      </c>
      <c r="G476" s="1">
        <v>307561</v>
      </c>
      <c r="H476" s="1">
        <v>1246653</v>
      </c>
      <c r="M476" t="s">
        <v>1168</v>
      </c>
      <c r="N476" t="s">
        <v>1589</v>
      </c>
    </row>
    <row r="477" spans="1:14" x14ac:dyDescent="0.25">
      <c r="A477" t="s">
        <v>1169</v>
      </c>
      <c r="B477" t="str">
        <f t="shared" si="14"/>
        <v>p__Bacillota_A</v>
      </c>
      <c r="C477" s="1">
        <v>106</v>
      </c>
      <c r="D477" s="3">
        <v>2937478</v>
      </c>
      <c r="E477" s="3">
        <f t="shared" si="15"/>
        <v>2.937478</v>
      </c>
      <c r="F477" s="2">
        <v>2014</v>
      </c>
      <c r="G477" s="1">
        <v>27712.1</v>
      </c>
      <c r="H477" s="1">
        <v>284000</v>
      </c>
      <c r="M477" t="s">
        <v>1169</v>
      </c>
      <c r="N477" t="s">
        <v>1589</v>
      </c>
    </row>
    <row r="478" spans="1:14" x14ac:dyDescent="0.25">
      <c r="A478" t="s">
        <v>1170</v>
      </c>
      <c r="B478" t="str">
        <f t="shared" si="14"/>
        <v>p__Bacillota_A</v>
      </c>
      <c r="C478" s="1">
        <v>13</v>
      </c>
      <c r="D478" s="3">
        <v>3167132</v>
      </c>
      <c r="E478" s="3">
        <f t="shared" si="15"/>
        <v>3.1671320000000001</v>
      </c>
      <c r="F478" s="1">
        <v>2154</v>
      </c>
      <c r="G478" s="2">
        <v>243625.5</v>
      </c>
      <c r="H478" s="1">
        <v>1116121</v>
      </c>
      <c r="M478" t="s">
        <v>1170</v>
      </c>
      <c r="N478" t="s">
        <v>1589</v>
      </c>
    </row>
    <row r="479" spans="1:14" x14ac:dyDescent="0.25">
      <c r="A479" t="s">
        <v>1171</v>
      </c>
      <c r="B479" t="str">
        <f t="shared" si="14"/>
        <v>p__Bacillota_A</v>
      </c>
      <c r="C479" s="1">
        <v>45</v>
      </c>
      <c r="D479" s="3">
        <v>2913568</v>
      </c>
      <c r="E479" s="3">
        <f t="shared" si="15"/>
        <v>2.9135680000000002</v>
      </c>
      <c r="F479" s="1">
        <v>2019</v>
      </c>
      <c r="G479" s="1">
        <v>64746</v>
      </c>
      <c r="H479" s="1">
        <v>442938</v>
      </c>
      <c r="M479" t="s">
        <v>1171</v>
      </c>
      <c r="N479" t="s">
        <v>1589</v>
      </c>
    </row>
    <row r="480" spans="1:14" x14ac:dyDescent="0.25">
      <c r="A480" t="s">
        <v>1172</v>
      </c>
      <c r="B480" t="str">
        <f t="shared" si="14"/>
        <v>p__Bacillota_A</v>
      </c>
      <c r="C480" s="1">
        <v>92</v>
      </c>
      <c r="D480" s="3">
        <v>3218092</v>
      </c>
      <c r="E480" s="3">
        <f t="shared" si="15"/>
        <v>3.218092</v>
      </c>
      <c r="F480" s="1">
        <v>2014</v>
      </c>
      <c r="G480" s="2">
        <v>34979.300000000003</v>
      </c>
      <c r="H480" s="1">
        <v>304011</v>
      </c>
      <c r="M480" t="s">
        <v>1172</v>
      </c>
      <c r="N480" t="s">
        <v>1589</v>
      </c>
    </row>
    <row r="481" spans="1:14" x14ac:dyDescent="0.25">
      <c r="A481" t="s">
        <v>1173</v>
      </c>
      <c r="B481" t="str">
        <f t="shared" si="14"/>
        <v>p__Bacillota_A</v>
      </c>
      <c r="C481" s="1">
        <v>1</v>
      </c>
      <c r="D481" s="3">
        <v>2726218</v>
      </c>
      <c r="E481" s="3">
        <f t="shared" si="15"/>
        <v>2.7262179999999998</v>
      </c>
      <c r="F481" s="1">
        <v>2726218</v>
      </c>
      <c r="G481" s="1">
        <v>2726218</v>
      </c>
      <c r="H481" s="1">
        <v>2726218</v>
      </c>
      <c r="M481" t="s">
        <v>1173</v>
      </c>
      <c r="N481" t="s">
        <v>1589</v>
      </c>
    </row>
    <row r="482" spans="1:14" x14ac:dyDescent="0.25">
      <c r="A482" t="s">
        <v>1174</v>
      </c>
      <c r="B482" t="str">
        <f t="shared" si="14"/>
        <v>p__Bacillota_A</v>
      </c>
      <c r="C482" s="1">
        <v>12</v>
      </c>
      <c r="D482" s="3">
        <v>3560924</v>
      </c>
      <c r="E482" s="3">
        <f t="shared" si="15"/>
        <v>3.560924</v>
      </c>
      <c r="F482" s="1">
        <v>3865</v>
      </c>
      <c r="G482" s="2">
        <v>296743.7</v>
      </c>
      <c r="H482" s="1">
        <v>941365</v>
      </c>
      <c r="M482" t="s">
        <v>1174</v>
      </c>
      <c r="N482" t="s">
        <v>1589</v>
      </c>
    </row>
    <row r="483" spans="1:14" x14ac:dyDescent="0.25">
      <c r="A483" t="s">
        <v>1175</v>
      </c>
      <c r="B483" t="str">
        <f t="shared" si="14"/>
        <v>p__Bacillota_A</v>
      </c>
      <c r="C483" s="1">
        <v>329</v>
      </c>
      <c r="D483" s="3">
        <v>1932538</v>
      </c>
      <c r="E483" s="3">
        <f t="shared" si="15"/>
        <v>1.9325380000000001</v>
      </c>
      <c r="F483" s="1">
        <v>2017</v>
      </c>
      <c r="G483" s="1">
        <v>5874</v>
      </c>
      <c r="H483" s="1">
        <v>23121</v>
      </c>
      <c r="M483" t="s">
        <v>1175</v>
      </c>
      <c r="N483" t="s">
        <v>1589</v>
      </c>
    </row>
    <row r="484" spans="1:14" x14ac:dyDescent="0.25">
      <c r="A484" t="s">
        <v>1176</v>
      </c>
      <c r="B484" t="str">
        <f t="shared" si="14"/>
        <v>p__Bacillota_A</v>
      </c>
      <c r="C484" s="1">
        <v>13</v>
      </c>
      <c r="D484" s="3">
        <v>2397096</v>
      </c>
      <c r="E484" s="3">
        <f t="shared" si="15"/>
        <v>2.3970959999999999</v>
      </c>
      <c r="F484" s="1">
        <v>2225</v>
      </c>
      <c r="G484" s="1">
        <v>184392</v>
      </c>
      <c r="H484" s="1">
        <v>1307355</v>
      </c>
      <c r="M484" t="s">
        <v>1176</v>
      </c>
      <c r="N484" t="s">
        <v>1589</v>
      </c>
    </row>
    <row r="485" spans="1:14" x14ac:dyDescent="0.25">
      <c r="A485" t="s">
        <v>1177</v>
      </c>
      <c r="B485" t="str">
        <f t="shared" si="14"/>
        <v>p__Bacillota_A</v>
      </c>
      <c r="C485" s="1">
        <v>25</v>
      </c>
      <c r="D485" s="3">
        <v>2054321</v>
      </c>
      <c r="E485" s="3">
        <f t="shared" si="15"/>
        <v>2.0543209999999998</v>
      </c>
      <c r="F485" s="1">
        <v>2053</v>
      </c>
      <c r="G485" s="2">
        <v>82172.800000000003</v>
      </c>
      <c r="H485" s="1">
        <v>771679</v>
      </c>
      <c r="M485" t="s">
        <v>1177</v>
      </c>
      <c r="N485" t="s">
        <v>1589</v>
      </c>
    </row>
    <row r="486" spans="1:14" x14ac:dyDescent="0.25">
      <c r="A486" t="s">
        <v>1178</v>
      </c>
      <c r="B486" t="str">
        <f t="shared" si="14"/>
        <v>p__Bacillota_A</v>
      </c>
      <c r="C486" s="1">
        <v>241</v>
      </c>
      <c r="D486" s="3">
        <v>1583031</v>
      </c>
      <c r="E486" s="3">
        <f t="shared" si="15"/>
        <v>1.5830310000000001</v>
      </c>
      <c r="F486" s="2">
        <v>2015</v>
      </c>
      <c r="G486" s="1">
        <v>6568.6</v>
      </c>
      <c r="H486" s="1">
        <v>126425</v>
      </c>
      <c r="M486" t="s">
        <v>1178</v>
      </c>
      <c r="N486" t="s">
        <v>1589</v>
      </c>
    </row>
    <row r="487" spans="1:14" x14ac:dyDescent="0.25">
      <c r="A487" t="s">
        <v>1179</v>
      </c>
      <c r="B487" t="str">
        <f t="shared" si="14"/>
        <v>p__Bacillota_A</v>
      </c>
      <c r="C487" s="1">
        <v>210</v>
      </c>
      <c r="D487" s="3">
        <v>2138790</v>
      </c>
      <c r="E487" s="3">
        <f t="shared" si="15"/>
        <v>2.1387900000000002</v>
      </c>
      <c r="F487" s="2">
        <v>2007</v>
      </c>
      <c r="G487" s="1">
        <v>10184.700000000001</v>
      </c>
      <c r="H487" s="1">
        <v>129461</v>
      </c>
      <c r="M487" t="s">
        <v>1179</v>
      </c>
      <c r="N487" t="s">
        <v>1589</v>
      </c>
    </row>
    <row r="488" spans="1:14" x14ac:dyDescent="0.25">
      <c r="A488" t="s">
        <v>1180</v>
      </c>
      <c r="B488" t="str">
        <f t="shared" si="14"/>
        <v>p__Bacillota_A</v>
      </c>
      <c r="C488" s="1">
        <v>57</v>
      </c>
      <c r="D488" s="3">
        <v>2210385</v>
      </c>
      <c r="E488" s="3">
        <f t="shared" si="15"/>
        <v>2.210385</v>
      </c>
      <c r="F488" s="1">
        <v>2001</v>
      </c>
      <c r="G488" s="2">
        <v>38778.699999999997</v>
      </c>
      <c r="H488" s="1">
        <v>244742</v>
      </c>
      <c r="M488" t="s">
        <v>1180</v>
      </c>
      <c r="N488" t="s">
        <v>1589</v>
      </c>
    </row>
    <row r="489" spans="1:14" x14ac:dyDescent="0.25">
      <c r="A489" t="s">
        <v>1181</v>
      </c>
      <c r="B489" t="str">
        <f t="shared" si="14"/>
        <v>p__Bacillota_A</v>
      </c>
      <c r="C489" s="1">
        <v>15</v>
      </c>
      <c r="D489" s="3">
        <v>2683722</v>
      </c>
      <c r="E489" s="3">
        <f t="shared" si="15"/>
        <v>2.6837219999999999</v>
      </c>
      <c r="F489" s="1">
        <v>8923</v>
      </c>
      <c r="G489" s="2">
        <v>178914.8</v>
      </c>
      <c r="H489" s="1">
        <v>683500</v>
      </c>
      <c r="M489" t="s">
        <v>1181</v>
      </c>
      <c r="N489" t="s">
        <v>1589</v>
      </c>
    </row>
    <row r="490" spans="1:14" x14ac:dyDescent="0.25">
      <c r="A490" t="s">
        <v>1182</v>
      </c>
      <c r="B490" t="str">
        <f t="shared" si="14"/>
        <v>p__Bacillota_A</v>
      </c>
      <c r="C490" s="1">
        <v>220</v>
      </c>
      <c r="D490" s="3">
        <v>1337631</v>
      </c>
      <c r="E490" s="3">
        <f t="shared" si="15"/>
        <v>1.337631</v>
      </c>
      <c r="F490" s="2">
        <v>2532</v>
      </c>
      <c r="G490" s="1">
        <v>6080.1</v>
      </c>
      <c r="H490" s="1">
        <v>29631</v>
      </c>
      <c r="M490" t="s">
        <v>1182</v>
      </c>
      <c r="N490" t="s">
        <v>1589</v>
      </c>
    </row>
    <row r="491" spans="1:14" x14ac:dyDescent="0.25">
      <c r="A491" t="s">
        <v>1183</v>
      </c>
      <c r="B491" t="str">
        <f t="shared" si="14"/>
        <v>p__Bacillota_A</v>
      </c>
      <c r="C491" s="1">
        <v>38</v>
      </c>
      <c r="D491" s="3">
        <v>2340199</v>
      </c>
      <c r="E491" s="3">
        <f t="shared" si="15"/>
        <v>2.3401990000000001</v>
      </c>
      <c r="F491" s="1">
        <v>2275</v>
      </c>
      <c r="G491" s="2">
        <v>61584.2</v>
      </c>
      <c r="H491" s="1">
        <v>272624</v>
      </c>
      <c r="M491" t="s">
        <v>1183</v>
      </c>
      <c r="N491" t="s">
        <v>1589</v>
      </c>
    </row>
    <row r="492" spans="1:14" x14ac:dyDescent="0.25">
      <c r="A492" t="s">
        <v>1184</v>
      </c>
      <c r="B492" t="str">
        <f t="shared" si="14"/>
        <v>p__Bacillota_A</v>
      </c>
      <c r="C492" s="1">
        <v>233</v>
      </c>
      <c r="D492" s="3">
        <v>1739327</v>
      </c>
      <c r="E492" s="3">
        <f t="shared" si="15"/>
        <v>1.7393270000000001</v>
      </c>
      <c r="F492" s="2">
        <v>2513</v>
      </c>
      <c r="G492" s="1">
        <v>7464.9</v>
      </c>
      <c r="H492" s="1">
        <v>32459</v>
      </c>
      <c r="M492" t="s">
        <v>1184</v>
      </c>
      <c r="N492" t="s">
        <v>1589</v>
      </c>
    </row>
    <row r="493" spans="1:14" x14ac:dyDescent="0.25">
      <c r="A493" t="s">
        <v>1185</v>
      </c>
      <c r="B493" t="str">
        <f t="shared" si="14"/>
        <v>p__Bacillota_A</v>
      </c>
      <c r="C493" s="1">
        <v>425</v>
      </c>
      <c r="D493" s="3">
        <v>1782038</v>
      </c>
      <c r="E493" s="3">
        <f t="shared" si="15"/>
        <v>1.782038</v>
      </c>
      <c r="F493" s="1">
        <v>2004</v>
      </c>
      <c r="G493" s="1">
        <v>4193</v>
      </c>
      <c r="H493" s="1">
        <v>16219</v>
      </c>
      <c r="M493" t="s">
        <v>1185</v>
      </c>
      <c r="N493" t="s">
        <v>1589</v>
      </c>
    </row>
    <row r="494" spans="1:14" x14ac:dyDescent="0.25">
      <c r="A494" t="s">
        <v>1186</v>
      </c>
      <c r="B494" t="str">
        <f t="shared" si="14"/>
        <v>p__Bacillota_A</v>
      </c>
      <c r="C494" s="1">
        <v>7</v>
      </c>
      <c r="D494" s="3">
        <v>3757198</v>
      </c>
      <c r="E494" s="3">
        <f t="shared" si="15"/>
        <v>3.7571979999999998</v>
      </c>
      <c r="F494" s="1">
        <v>11655</v>
      </c>
      <c r="G494" s="2">
        <v>536742.6</v>
      </c>
      <c r="H494" s="1">
        <v>1507614</v>
      </c>
      <c r="M494" t="s">
        <v>1186</v>
      </c>
      <c r="N494" t="s">
        <v>1589</v>
      </c>
    </row>
    <row r="495" spans="1:14" x14ac:dyDescent="0.25">
      <c r="A495" t="s">
        <v>1187</v>
      </c>
      <c r="B495" t="str">
        <f t="shared" si="14"/>
        <v>p__Bacillota_A</v>
      </c>
      <c r="C495" s="1">
        <v>47</v>
      </c>
      <c r="D495" s="3">
        <v>2096733</v>
      </c>
      <c r="E495" s="3">
        <f t="shared" si="15"/>
        <v>2.096733</v>
      </c>
      <c r="F495" s="1">
        <v>2534</v>
      </c>
      <c r="G495" s="2">
        <v>44611.3</v>
      </c>
      <c r="H495" s="1">
        <v>201592</v>
      </c>
      <c r="M495" t="s">
        <v>1187</v>
      </c>
      <c r="N495" t="s">
        <v>1589</v>
      </c>
    </row>
    <row r="496" spans="1:14" x14ac:dyDescent="0.25">
      <c r="A496" t="s">
        <v>1188</v>
      </c>
      <c r="B496" t="str">
        <f t="shared" si="14"/>
        <v>p__Bacillota_A</v>
      </c>
      <c r="C496" s="1">
        <v>28</v>
      </c>
      <c r="D496" s="3">
        <v>1710410</v>
      </c>
      <c r="E496" s="3">
        <f t="shared" si="15"/>
        <v>1.71041</v>
      </c>
      <c r="F496" s="1">
        <v>2383</v>
      </c>
      <c r="G496" s="2">
        <v>61086.1</v>
      </c>
      <c r="H496" s="1">
        <v>166804</v>
      </c>
      <c r="M496" t="s">
        <v>1188</v>
      </c>
      <c r="N496" t="s">
        <v>1589</v>
      </c>
    </row>
    <row r="497" spans="1:14" x14ac:dyDescent="0.25">
      <c r="A497" t="s">
        <v>1189</v>
      </c>
      <c r="B497" t="str">
        <f t="shared" si="14"/>
        <v>p__Bacillota_A</v>
      </c>
      <c r="C497" s="1">
        <v>52</v>
      </c>
      <c r="D497" s="3">
        <v>2764890</v>
      </c>
      <c r="E497" s="3">
        <f t="shared" si="15"/>
        <v>2.7648899999999998</v>
      </c>
      <c r="F497" s="1">
        <v>2716</v>
      </c>
      <c r="G497" s="1">
        <v>53171</v>
      </c>
      <c r="H497" s="1">
        <v>251923</v>
      </c>
      <c r="M497" t="s">
        <v>1189</v>
      </c>
      <c r="N497" t="s">
        <v>1589</v>
      </c>
    </row>
    <row r="498" spans="1:14" x14ac:dyDescent="0.25">
      <c r="A498" t="s">
        <v>1190</v>
      </c>
      <c r="B498" t="str">
        <f t="shared" si="14"/>
        <v>p__Bacillota_A</v>
      </c>
      <c r="C498" s="1">
        <v>42</v>
      </c>
      <c r="D498" s="3">
        <v>1872869</v>
      </c>
      <c r="E498" s="3">
        <f t="shared" si="15"/>
        <v>1.8728689999999999</v>
      </c>
      <c r="F498" s="1">
        <v>3582</v>
      </c>
      <c r="G498" s="2">
        <v>44592.1</v>
      </c>
      <c r="H498" s="1">
        <v>349189</v>
      </c>
      <c r="M498" t="s">
        <v>1190</v>
      </c>
      <c r="N498" t="s">
        <v>1589</v>
      </c>
    </row>
    <row r="499" spans="1:14" x14ac:dyDescent="0.25">
      <c r="A499" t="s">
        <v>1191</v>
      </c>
      <c r="B499" t="str">
        <f t="shared" si="14"/>
        <v>p__Bacillota_A</v>
      </c>
      <c r="C499" s="1">
        <v>84</v>
      </c>
      <c r="D499" s="3">
        <v>1987898</v>
      </c>
      <c r="E499" s="3">
        <f t="shared" si="15"/>
        <v>1.9878979999999999</v>
      </c>
      <c r="F499" s="1">
        <v>2062</v>
      </c>
      <c r="G499" s="2">
        <v>23665.5</v>
      </c>
      <c r="H499" s="1">
        <v>228903</v>
      </c>
      <c r="M499" t="s">
        <v>1191</v>
      </c>
      <c r="N499" t="s">
        <v>1589</v>
      </c>
    </row>
    <row r="500" spans="1:14" x14ac:dyDescent="0.25">
      <c r="A500" t="s">
        <v>1192</v>
      </c>
      <c r="B500" t="str">
        <f t="shared" si="14"/>
        <v>p__Bacillota_A</v>
      </c>
      <c r="C500" s="1">
        <v>11</v>
      </c>
      <c r="D500" s="3">
        <v>1665744</v>
      </c>
      <c r="E500" s="3">
        <f t="shared" si="15"/>
        <v>1.6657439999999999</v>
      </c>
      <c r="F500" s="1">
        <v>3550</v>
      </c>
      <c r="G500" s="2">
        <v>151431.29999999999</v>
      </c>
      <c r="H500" s="1">
        <v>456600</v>
      </c>
      <c r="M500" t="s">
        <v>1192</v>
      </c>
      <c r="N500" t="s">
        <v>1589</v>
      </c>
    </row>
    <row r="501" spans="1:14" x14ac:dyDescent="0.25">
      <c r="A501" t="s">
        <v>1193</v>
      </c>
      <c r="B501" t="str">
        <f t="shared" si="14"/>
        <v>p__Bacillota_A</v>
      </c>
      <c r="C501" s="1">
        <v>43</v>
      </c>
      <c r="D501" s="3">
        <v>2878860</v>
      </c>
      <c r="E501" s="3">
        <f t="shared" si="15"/>
        <v>2.87886</v>
      </c>
      <c r="F501" s="1">
        <v>2168</v>
      </c>
      <c r="G501" s="2">
        <v>66950.2</v>
      </c>
      <c r="H501" s="1">
        <v>264177</v>
      </c>
      <c r="M501" t="s">
        <v>1193</v>
      </c>
      <c r="N501" t="s">
        <v>1589</v>
      </c>
    </row>
    <row r="502" spans="1:14" x14ac:dyDescent="0.25">
      <c r="A502" t="s">
        <v>1194</v>
      </c>
      <c r="B502" t="str">
        <f t="shared" si="14"/>
        <v>p__Bacillota_A</v>
      </c>
      <c r="C502" s="1">
        <v>11</v>
      </c>
      <c r="D502" s="3">
        <v>2328705</v>
      </c>
      <c r="E502" s="3">
        <f t="shared" si="15"/>
        <v>2.3287049999999998</v>
      </c>
      <c r="F502" s="1">
        <v>22290</v>
      </c>
      <c r="G502" s="2">
        <v>211700.5</v>
      </c>
      <c r="H502" s="1">
        <v>799175</v>
      </c>
      <c r="M502" t="s">
        <v>1194</v>
      </c>
      <c r="N502" t="s">
        <v>1589</v>
      </c>
    </row>
    <row r="503" spans="1:14" x14ac:dyDescent="0.25">
      <c r="A503" t="s">
        <v>1195</v>
      </c>
      <c r="B503" t="str">
        <f t="shared" si="14"/>
        <v>p__Bacillota_A</v>
      </c>
      <c r="C503" s="1">
        <v>244</v>
      </c>
      <c r="D503" s="3">
        <v>1587888</v>
      </c>
      <c r="E503" s="3">
        <f t="shared" si="15"/>
        <v>1.587888</v>
      </c>
      <c r="F503" s="2">
        <v>2024</v>
      </c>
      <c r="G503" s="1">
        <v>6507.7</v>
      </c>
      <c r="H503" s="1">
        <v>88350</v>
      </c>
      <c r="M503" t="s">
        <v>1195</v>
      </c>
      <c r="N503" t="s">
        <v>1589</v>
      </c>
    </row>
    <row r="504" spans="1:14" x14ac:dyDescent="0.25">
      <c r="A504" t="s">
        <v>1196</v>
      </c>
      <c r="B504" t="str">
        <f t="shared" si="14"/>
        <v>p__Bacillota_A</v>
      </c>
      <c r="C504" s="1">
        <v>316</v>
      </c>
      <c r="D504" s="3">
        <v>2266159</v>
      </c>
      <c r="E504" s="3">
        <f t="shared" si="15"/>
        <v>2.266159</v>
      </c>
      <c r="F504" s="2">
        <v>2002</v>
      </c>
      <c r="G504" s="1">
        <v>7171.4</v>
      </c>
      <c r="H504" s="1">
        <v>142611</v>
      </c>
      <c r="M504" t="s">
        <v>1196</v>
      </c>
      <c r="N504" t="s">
        <v>1589</v>
      </c>
    </row>
    <row r="505" spans="1:14" x14ac:dyDescent="0.25">
      <c r="A505" t="s">
        <v>1197</v>
      </c>
      <c r="B505" t="str">
        <f t="shared" si="14"/>
        <v>p__Bacillota_A</v>
      </c>
      <c r="C505" s="1">
        <v>25</v>
      </c>
      <c r="D505" s="3">
        <v>2028928</v>
      </c>
      <c r="E505" s="3">
        <f t="shared" si="15"/>
        <v>2.0289280000000001</v>
      </c>
      <c r="F505" s="1">
        <v>6826</v>
      </c>
      <c r="G505" s="2">
        <v>81157.100000000006</v>
      </c>
      <c r="H505" s="1">
        <v>249706</v>
      </c>
      <c r="M505" t="s">
        <v>1197</v>
      </c>
      <c r="N505" t="s">
        <v>1589</v>
      </c>
    </row>
    <row r="506" spans="1:14" x14ac:dyDescent="0.25">
      <c r="A506" t="s">
        <v>1198</v>
      </c>
      <c r="B506" t="str">
        <f t="shared" si="14"/>
        <v>p__Bacillota_A</v>
      </c>
      <c r="C506" s="1">
        <v>482</v>
      </c>
      <c r="D506" s="3">
        <v>2943815</v>
      </c>
      <c r="E506" s="3">
        <f t="shared" si="15"/>
        <v>2.9438149999999998</v>
      </c>
      <c r="F506" s="2">
        <v>2007</v>
      </c>
      <c r="G506" s="1">
        <v>6107.5</v>
      </c>
      <c r="H506" s="1">
        <v>38376</v>
      </c>
      <c r="M506" t="s">
        <v>1198</v>
      </c>
      <c r="N506" t="s">
        <v>1589</v>
      </c>
    </row>
    <row r="507" spans="1:14" x14ac:dyDescent="0.25">
      <c r="A507" t="s">
        <v>1199</v>
      </c>
      <c r="B507" t="str">
        <f t="shared" si="14"/>
        <v>p__Bacillota_A</v>
      </c>
      <c r="C507" s="1">
        <v>325</v>
      </c>
      <c r="D507" s="3">
        <v>2009265</v>
      </c>
      <c r="E507" s="3">
        <f t="shared" si="15"/>
        <v>2.0092650000000001</v>
      </c>
      <c r="F507" s="2">
        <v>2017</v>
      </c>
      <c r="G507" s="1">
        <v>6182.4</v>
      </c>
      <c r="H507" s="1">
        <v>32958</v>
      </c>
      <c r="M507" t="s">
        <v>1199</v>
      </c>
      <c r="N507" t="s">
        <v>1589</v>
      </c>
    </row>
    <row r="508" spans="1:14" x14ac:dyDescent="0.25">
      <c r="A508" t="s">
        <v>1200</v>
      </c>
      <c r="B508" t="str">
        <f t="shared" si="14"/>
        <v>p__Bacillota_A</v>
      </c>
      <c r="C508" s="1">
        <v>348</v>
      </c>
      <c r="D508" s="3">
        <v>1745201</v>
      </c>
      <c r="E508" s="3">
        <f t="shared" si="15"/>
        <v>1.745201</v>
      </c>
      <c r="F508" s="2">
        <v>2001</v>
      </c>
      <c r="G508" s="1">
        <v>5014.8999999999996</v>
      </c>
      <c r="H508" s="1">
        <v>24093</v>
      </c>
      <c r="M508" t="s">
        <v>1200</v>
      </c>
      <c r="N508" t="s">
        <v>1589</v>
      </c>
    </row>
    <row r="509" spans="1:14" x14ac:dyDescent="0.25">
      <c r="A509" t="s">
        <v>1201</v>
      </c>
      <c r="B509" t="str">
        <f t="shared" si="14"/>
        <v>p__Bacillota_A</v>
      </c>
      <c r="C509" s="1">
        <v>221</v>
      </c>
      <c r="D509" s="3">
        <v>2155675</v>
      </c>
      <c r="E509" s="3">
        <f t="shared" si="15"/>
        <v>2.155675</v>
      </c>
      <c r="F509" s="2">
        <v>2003</v>
      </c>
      <c r="G509" s="1">
        <v>9754.2000000000007</v>
      </c>
      <c r="H509" s="1">
        <v>96454</v>
      </c>
      <c r="M509" t="s">
        <v>1201</v>
      </c>
      <c r="N509" t="s">
        <v>1589</v>
      </c>
    </row>
    <row r="510" spans="1:14" x14ac:dyDescent="0.25">
      <c r="A510" t="s">
        <v>1202</v>
      </c>
      <c r="B510" t="str">
        <f t="shared" si="14"/>
        <v>p__Bacillota_A</v>
      </c>
      <c r="C510" s="1">
        <v>148</v>
      </c>
      <c r="D510" s="3">
        <v>1265361</v>
      </c>
      <c r="E510" s="3">
        <f t="shared" si="15"/>
        <v>1.265361</v>
      </c>
      <c r="F510" s="2">
        <v>2017</v>
      </c>
      <c r="G510" s="1">
        <v>8549.7000000000007</v>
      </c>
      <c r="H510" s="1">
        <v>71598</v>
      </c>
      <c r="M510" t="s">
        <v>1202</v>
      </c>
      <c r="N510" t="s">
        <v>1589</v>
      </c>
    </row>
    <row r="511" spans="1:14" x14ac:dyDescent="0.25">
      <c r="A511" t="s">
        <v>1203</v>
      </c>
      <c r="B511" t="str">
        <f t="shared" si="14"/>
        <v>p__Bacillota_A</v>
      </c>
      <c r="C511" s="1">
        <v>39</v>
      </c>
      <c r="D511" s="3">
        <v>1379265</v>
      </c>
      <c r="E511" s="3">
        <f t="shared" si="15"/>
        <v>1.379265</v>
      </c>
      <c r="F511" s="1">
        <v>2193</v>
      </c>
      <c r="G511" s="2">
        <v>35365.800000000003</v>
      </c>
      <c r="H511" s="1">
        <v>146361</v>
      </c>
      <c r="M511" t="s">
        <v>1203</v>
      </c>
      <c r="N511" t="s">
        <v>1589</v>
      </c>
    </row>
    <row r="512" spans="1:14" x14ac:dyDescent="0.25">
      <c r="A512" t="s">
        <v>1204</v>
      </c>
      <c r="B512" t="str">
        <f t="shared" si="14"/>
        <v>p__Bacillota_A</v>
      </c>
      <c r="C512" s="1">
        <v>179</v>
      </c>
      <c r="D512" s="3">
        <v>2047728</v>
      </c>
      <c r="E512" s="3">
        <f t="shared" si="15"/>
        <v>2.0477280000000002</v>
      </c>
      <c r="F512" s="2">
        <v>2004</v>
      </c>
      <c r="G512" s="1">
        <v>11439.8</v>
      </c>
      <c r="H512" s="1">
        <v>162896</v>
      </c>
      <c r="M512" t="s">
        <v>1204</v>
      </c>
      <c r="N512" t="s">
        <v>1589</v>
      </c>
    </row>
    <row r="513" spans="1:14" x14ac:dyDescent="0.25">
      <c r="A513" t="s">
        <v>1205</v>
      </c>
      <c r="B513" t="str">
        <f t="shared" si="14"/>
        <v>p__Bacillota_A</v>
      </c>
      <c r="C513" s="1">
        <v>319</v>
      </c>
      <c r="D513" s="3">
        <v>2319803</v>
      </c>
      <c r="E513" s="3">
        <f t="shared" si="15"/>
        <v>2.3198029999999998</v>
      </c>
      <c r="F513" s="2">
        <v>2002</v>
      </c>
      <c r="G513" s="1">
        <v>7272.1</v>
      </c>
      <c r="H513" s="1">
        <v>83762</v>
      </c>
      <c r="M513" t="s">
        <v>1205</v>
      </c>
      <c r="N513" t="s">
        <v>1589</v>
      </c>
    </row>
    <row r="514" spans="1:14" x14ac:dyDescent="0.25">
      <c r="A514" t="s">
        <v>1206</v>
      </c>
      <c r="B514" t="str">
        <f t="shared" ref="B514:B577" si="16">VLOOKUP(A514,M:N,2,FALSE)</f>
        <v>p__Bacillota_A</v>
      </c>
      <c r="C514" s="1">
        <v>115</v>
      </c>
      <c r="D514" s="3">
        <v>1954955</v>
      </c>
      <c r="E514" s="3">
        <f t="shared" ref="E514:E577" si="17">D514/1000000</f>
        <v>1.954955</v>
      </c>
      <c r="F514" s="2">
        <v>2025</v>
      </c>
      <c r="G514" s="1">
        <v>16999.599999999999</v>
      </c>
      <c r="H514" s="1">
        <v>214558</v>
      </c>
      <c r="M514" t="s">
        <v>1206</v>
      </c>
      <c r="N514" t="s">
        <v>1589</v>
      </c>
    </row>
    <row r="515" spans="1:14" x14ac:dyDescent="0.25">
      <c r="A515" t="s">
        <v>1207</v>
      </c>
      <c r="B515" t="str">
        <f t="shared" si="16"/>
        <v>p__Bacillota_A</v>
      </c>
      <c r="C515" s="1">
        <v>56</v>
      </c>
      <c r="D515" s="3">
        <v>1877876</v>
      </c>
      <c r="E515" s="3">
        <f t="shared" si="17"/>
        <v>1.8778760000000001</v>
      </c>
      <c r="F515" s="1">
        <v>2066</v>
      </c>
      <c r="G515" s="2">
        <v>33533.5</v>
      </c>
      <c r="H515" s="1">
        <v>236787</v>
      </c>
      <c r="M515" t="s">
        <v>1207</v>
      </c>
      <c r="N515" t="s">
        <v>1589</v>
      </c>
    </row>
    <row r="516" spans="1:14" x14ac:dyDescent="0.25">
      <c r="A516" t="s">
        <v>1208</v>
      </c>
      <c r="B516" t="str">
        <f t="shared" si="16"/>
        <v>p__Bacillota_A</v>
      </c>
      <c r="C516" s="1">
        <v>246</v>
      </c>
      <c r="D516" s="3">
        <v>1599548</v>
      </c>
      <c r="E516" s="3">
        <f t="shared" si="17"/>
        <v>1.599548</v>
      </c>
      <c r="F516" s="2">
        <v>2001</v>
      </c>
      <c r="G516" s="1">
        <v>6502.2</v>
      </c>
      <c r="H516" s="1">
        <v>113526</v>
      </c>
      <c r="M516" t="s">
        <v>1208</v>
      </c>
      <c r="N516" t="s">
        <v>1589</v>
      </c>
    </row>
    <row r="517" spans="1:14" x14ac:dyDescent="0.25">
      <c r="A517" t="s">
        <v>1209</v>
      </c>
      <c r="B517" t="str">
        <f t="shared" si="16"/>
        <v>p__Bacillota_A</v>
      </c>
      <c r="C517" s="1">
        <v>312</v>
      </c>
      <c r="D517" s="3">
        <v>2660898</v>
      </c>
      <c r="E517" s="3">
        <f t="shared" si="17"/>
        <v>2.660898</v>
      </c>
      <c r="F517" s="2">
        <v>2004</v>
      </c>
      <c r="G517" s="1">
        <v>8528.5</v>
      </c>
      <c r="H517" s="1">
        <v>197390</v>
      </c>
      <c r="M517" t="s">
        <v>1209</v>
      </c>
      <c r="N517" t="s">
        <v>1589</v>
      </c>
    </row>
    <row r="518" spans="1:14" x14ac:dyDescent="0.25">
      <c r="A518" t="s">
        <v>1210</v>
      </c>
      <c r="B518" t="str">
        <f t="shared" si="16"/>
        <v>p__Bacillota_A</v>
      </c>
      <c r="C518" s="1">
        <v>11</v>
      </c>
      <c r="D518" s="3">
        <v>2482741</v>
      </c>
      <c r="E518" s="3">
        <f t="shared" si="17"/>
        <v>2.4827409999999999</v>
      </c>
      <c r="F518" s="1">
        <v>2716</v>
      </c>
      <c r="G518" s="2">
        <v>225703.7</v>
      </c>
      <c r="H518" s="1">
        <v>497040</v>
      </c>
      <c r="M518" t="s">
        <v>1210</v>
      </c>
      <c r="N518" t="s">
        <v>1589</v>
      </c>
    </row>
    <row r="519" spans="1:14" x14ac:dyDescent="0.25">
      <c r="A519" t="s">
        <v>1211</v>
      </c>
      <c r="B519" t="str">
        <f t="shared" si="16"/>
        <v>p__Bacillota_A</v>
      </c>
      <c r="C519" s="1">
        <v>65</v>
      </c>
      <c r="D519" s="3">
        <v>2224294</v>
      </c>
      <c r="E519" s="3">
        <f t="shared" si="17"/>
        <v>2.224294</v>
      </c>
      <c r="F519" s="1">
        <v>2006</v>
      </c>
      <c r="G519" s="2">
        <v>34219.9</v>
      </c>
      <c r="H519" s="1">
        <v>280843</v>
      </c>
      <c r="M519" t="s">
        <v>1211</v>
      </c>
      <c r="N519" t="s">
        <v>1589</v>
      </c>
    </row>
    <row r="520" spans="1:14" x14ac:dyDescent="0.25">
      <c r="A520" t="s">
        <v>1212</v>
      </c>
      <c r="B520" t="str">
        <f t="shared" si="16"/>
        <v>p__Bacillota_A</v>
      </c>
      <c r="C520" s="1">
        <v>66</v>
      </c>
      <c r="D520" s="3">
        <v>2304137</v>
      </c>
      <c r="E520" s="3">
        <f t="shared" si="17"/>
        <v>2.3041369999999999</v>
      </c>
      <c r="F520" s="1">
        <v>2011</v>
      </c>
      <c r="G520" s="2">
        <v>34911.199999999997</v>
      </c>
      <c r="H520" s="1">
        <v>1610274</v>
      </c>
      <c r="M520" t="s">
        <v>1212</v>
      </c>
      <c r="N520" t="s">
        <v>1589</v>
      </c>
    </row>
    <row r="521" spans="1:14" x14ac:dyDescent="0.25">
      <c r="A521" t="s">
        <v>1213</v>
      </c>
      <c r="B521" t="str">
        <f t="shared" si="16"/>
        <v>p__Bacillota_A</v>
      </c>
      <c r="C521" s="1">
        <v>374</v>
      </c>
      <c r="D521" s="3">
        <v>1831050</v>
      </c>
      <c r="E521" s="3">
        <f t="shared" si="17"/>
        <v>1.8310500000000001</v>
      </c>
      <c r="F521" s="2">
        <v>2001</v>
      </c>
      <c r="G521" s="1">
        <v>4895.8999999999996</v>
      </c>
      <c r="H521" s="1">
        <v>67837</v>
      </c>
      <c r="M521" t="s">
        <v>1213</v>
      </c>
      <c r="N521" t="s">
        <v>1589</v>
      </c>
    </row>
    <row r="522" spans="1:14" x14ac:dyDescent="0.25">
      <c r="A522" t="s">
        <v>1214</v>
      </c>
      <c r="B522" t="str">
        <f t="shared" si="16"/>
        <v>p__Bacillota_A</v>
      </c>
      <c r="C522" s="1">
        <v>98</v>
      </c>
      <c r="D522" s="3">
        <v>1803298</v>
      </c>
      <c r="E522" s="3">
        <f t="shared" si="17"/>
        <v>1.8032980000000001</v>
      </c>
      <c r="F522" s="1">
        <v>2017</v>
      </c>
      <c r="G522" s="1">
        <v>18401</v>
      </c>
      <c r="H522" s="1">
        <v>185168</v>
      </c>
      <c r="M522" t="s">
        <v>1214</v>
      </c>
      <c r="N522" t="s">
        <v>1589</v>
      </c>
    </row>
    <row r="523" spans="1:14" x14ac:dyDescent="0.25">
      <c r="A523" t="s">
        <v>1215</v>
      </c>
      <c r="B523" t="str">
        <f t="shared" si="16"/>
        <v>p__Bacillota_A</v>
      </c>
      <c r="C523" s="1">
        <v>24</v>
      </c>
      <c r="D523" s="3">
        <v>1468928</v>
      </c>
      <c r="E523" s="3">
        <f t="shared" si="17"/>
        <v>1.468928</v>
      </c>
      <c r="F523" s="1">
        <v>2873</v>
      </c>
      <c r="G523" s="2">
        <v>61205.3</v>
      </c>
      <c r="H523" s="1">
        <v>356077</v>
      </c>
      <c r="M523" t="s">
        <v>1215</v>
      </c>
      <c r="N523" t="s">
        <v>1589</v>
      </c>
    </row>
    <row r="524" spans="1:14" x14ac:dyDescent="0.25">
      <c r="A524" t="s">
        <v>1216</v>
      </c>
      <c r="B524" t="str">
        <f t="shared" si="16"/>
        <v>p__Bacillota_A</v>
      </c>
      <c r="C524" s="1">
        <v>26</v>
      </c>
      <c r="D524" s="3">
        <v>1810075</v>
      </c>
      <c r="E524" s="3">
        <f t="shared" si="17"/>
        <v>1.8100750000000001</v>
      </c>
      <c r="F524" s="1">
        <v>13668</v>
      </c>
      <c r="G524" s="2">
        <v>69618.3</v>
      </c>
      <c r="H524" s="1">
        <v>197399</v>
      </c>
      <c r="M524" t="s">
        <v>1216</v>
      </c>
      <c r="N524" t="s">
        <v>1589</v>
      </c>
    </row>
    <row r="525" spans="1:14" x14ac:dyDescent="0.25">
      <c r="A525" t="s">
        <v>1217</v>
      </c>
      <c r="B525" t="str">
        <f t="shared" si="16"/>
        <v>p__Bacillota_A</v>
      </c>
      <c r="C525" s="1">
        <v>67</v>
      </c>
      <c r="D525" s="3">
        <v>2067469</v>
      </c>
      <c r="E525" s="3">
        <f t="shared" si="17"/>
        <v>2.067469</v>
      </c>
      <c r="F525" s="1">
        <v>2056</v>
      </c>
      <c r="G525" s="2">
        <v>30857.7</v>
      </c>
      <c r="H525" s="1">
        <v>256543</v>
      </c>
      <c r="M525" t="s">
        <v>1217</v>
      </c>
      <c r="N525" t="s">
        <v>1589</v>
      </c>
    </row>
    <row r="526" spans="1:14" x14ac:dyDescent="0.25">
      <c r="A526" t="s">
        <v>1218</v>
      </c>
      <c r="B526" t="str">
        <f t="shared" si="16"/>
        <v>p__Bacillota_A</v>
      </c>
      <c r="C526" s="1">
        <v>9</v>
      </c>
      <c r="D526" s="3">
        <v>2011320</v>
      </c>
      <c r="E526" s="3">
        <f t="shared" si="17"/>
        <v>2.01132</v>
      </c>
      <c r="F526" s="1">
        <v>4809</v>
      </c>
      <c r="G526" s="1">
        <v>223480</v>
      </c>
      <c r="H526" s="1">
        <v>847574</v>
      </c>
      <c r="M526" t="s">
        <v>1218</v>
      </c>
      <c r="N526" t="s">
        <v>1589</v>
      </c>
    </row>
    <row r="527" spans="1:14" x14ac:dyDescent="0.25">
      <c r="A527" t="s">
        <v>1219</v>
      </c>
      <c r="B527" t="str">
        <f t="shared" si="16"/>
        <v>p__Bacillota_A</v>
      </c>
      <c r="C527" s="1">
        <v>35</v>
      </c>
      <c r="D527" s="3">
        <v>1870643</v>
      </c>
      <c r="E527" s="3">
        <f t="shared" si="17"/>
        <v>1.8706430000000001</v>
      </c>
      <c r="F527" s="1">
        <v>6876</v>
      </c>
      <c r="G527" s="2">
        <v>53446.9</v>
      </c>
      <c r="H527" s="1">
        <v>200869</v>
      </c>
      <c r="M527" t="s">
        <v>1219</v>
      </c>
      <c r="N527" t="s">
        <v>1589</v>
      </c>
    </row>
    <row r="528" spans="1:14" x14ac:dyDescent="0.25">
      <c r="A528" t="s">
        <v>1220</v>
      </c>
      <c r="B528" t="str">
        <f t="shared" si="16"/>
        <v>p__Bacillota_A</v>
      </c>
      <c r="C528" s="1">
        <v>17</v>
      </c>
      <c r="D528" s="3">
        <v>3245363</v>
      </c>
      <c r="E528" s="3">
        <f t="shared" si="17"/>
        <v>3.2453630000000002</v>
      </c>
      <c r="F528" s="1">
        <v>3455</v>
      </c>
      <c r="G528" s="2">
        <v>190903.7</v>
      </c>
      <c r="H528" s="1">
        <v>620778</v>
      </c>
      <c r="M528" t="s">
        <v>1220</v>
      </c>
      <c r="N528" t="s">
        <v>1589</v>
      </c>
    </row>
    <row r="529" spans="1:14" x14ac:dyDescent="0.25">
      <c r="A529" t="s">
        <v>1221</v>
      </c>
      <c r="B529" t="str">
        <f t="shared" si="16"/>
        <v>p__Bacillota_A</v>
      </c>
      <c r="C529" s="1">
        <v>37</v>
      </c>
      <c r="D529" s="3">
        <v>2204207</v>
      </c>
      <c r="E529" s="3">
        <f t="shared" si="17"/>
        <v>2.2042069999999998</v>
      </c>
      <c r="F529" s="1">
        <v>3611</v>
      </c>
      <c r="G529" s="2">
        <v>59573.2</v>
      </c>
      <c r="H529" s="1">
        <v>392363</v>
      </c>
      <c r="M529" t="s">
        <v>1221</v>
      </c>
      <c r="N529" t="s">
        <v>1589</v>
      </c>
    </row>
    <row r="530" spans="1:14" x14ac:dyDescent="0.25">
      <c r="A530" t="s">
        <v>1222</v>
      </c>
      <c r="B530" t="str">
        <f t="shared" si="16"/>
        <v>p__Bacillota_A</v>
      </c>
      <c r="C530" s="1">
        <v>26</v>
      </c>
      <c r="D530" s="3">
        <v>1219594</v>
      </c>
      <c r="E530" s="3">
        <f t="shared" si="17"/>
        <v>1.2195940000000001</v>
      </c>
      <c r="F530" s="1">
        <v>3775</v>
      </c>
      <c r="G530" s="2">
        <v>46907.5</v>
      </c>
      <c r="H530" s="1">
        <v>370736</v>
      </c>
      <c r="M530" t="s">
        <v>1222</v>
      </c>
      <c r="N530" t="s">
        <v>1589</v>
      </c>
    </row>
    <row r="531" spans="1:14" x14ac:dyDescent="0.25">
      <c r="A531" t="s">
        <v>1223</v>
      </c>
      <c r="B531" t="str">
        <f t="shared" si="16"/>
        <v>p__Bacillota_A</v>
      </c>
      <c r="C531" s="1">
        <v>119</v>
      </c>
      <c r="D531" s="3">
        <v>2833189</v>
      </c>
      <c r="E531" s="3">
        <f t="shared" si="17"/>
        <v>2.833189</v>
      </c>
      <c r="F531" s="2">
        <v>2003</v>
      </c>
      <c r="G531" s="1">
        <v>23808.3</v>
      </c>
      <c r="H531" s="1">
        <v>292231</v>
      </c>
      <c r="M531" t="s">
        <v>1223</v>
      </c>
      <c r="N531" t="s">
        <v>1589</v>
      </c>
    </row>
    <row r="532" spans="1:14" x14ac:dyDescent="0.25">
      <c r="A532" t="s">
        <v>406</v>
      </c>
      <c r="B532" t="str">
        <f t="shared" si="16"/>
        <v>p__Bacillota_B</v>
      </c>
      <c r="C532" s="1">
        <v>31</v>
      </c>
      <c r="D532" s="3">
        <v>2082843</v>
      </c>
      <c r="E532" s="3">
        <f t="shared" si="17"/>
        <v>2.082843</v>
      </c>
      <c r="F532" s="1">
        <v>6852</v>
      </c>
      <c r="G532" s="2">
        <v>67188.5</v>
      </c>
      <c r="H532" s="1">
        <v>301446</v>
      </c>
      <c r="M532" t="s">
        <v>406</v>
      </c>
      <c r="N532" t="s">
        <v>1590</v>
      </c>
    </row>
    <row r="533" spans="1:14" x14ac:dyDescent="0.25">
      <c r="A533" t="s">
        <v>810</v>
      </c>
      <c r="B533" t="str">
        <f t="shared" si="16"/>
        <v>p__Bacillota_B</v>
      </c>
      <c r="C533" s="1">
        <v>303</v>
      </c>
      <c r="D533" s="3">
        <v>2068327</v>
      </c>
      <c r="E533" s="3">
        <f t="shared" si="17"/>
        <v>2.068327</v>
      </c>
      <c r="F533" s="2">
        <v>2002</v>
      </c>
      <c r="G533" s="1">
        <v>6826.2</v>
      </c>
      <c r="H533" s="1">
        <v>86981</v>
      </c>
      <c r="M533" t="s">
        <v>810</v>
      </c>
      <c r="N533" t="s">
        <v>1590</v>
      </c>
    </row>
    <row r="534" spans="1:14" x14ac:dyDescent="0.25">
      <c r="A534" t="s">
        <v>811</v>
      </c>
      <c r="B534" t="str">
        <f t="shared" si="16"/>
        <v>p__Bacillota_B</v>
      </c>
      <c r="C534" s="1">
        <v>363</v>
      </c>
      <c r="D534" s="3">
        <v>2478017</v>
      </c>
      <c r="E534" s="3">
        <f t="shared" si="17"/>
        <v>2.4780169999999999</v>
      </c>
      <c r="F534" s="2">
        <v>2058</v>
      </c>
      <c r="G534" s="1">
        <v>6826.5</v>
      </c>
      <c r="H534" s="1">
        <v>39483</v>
      </c>
      <c r="M534" t="s">
        <v>811</v>
      </c>
      <c r="N534" t="s">
        <v>1590</v>
      </c>
    </row>
    <row r="535" spans="1:14" x14ac:dyDescent="0.25">
      <c r="A535" t="s">
        <v>812</v>
      </c>
      <c r="B535" t="str">
        <f t="shared" si="16"/>
        <v>p__Bacillota_B</v>
      </c>
      <c r="C535" s="1">
        <v>252</v>
      </c>
      <c r="D535" s="3">
        <v>834716</v>
      </c>
      <c r="E535" s="3">
        <f t="shared" si="17"/>
        <v>0.83471600000000001</v>
      </c>
      <c r="F535" s="2">
        <v>2003</v>
      </c>
      <c r="G535" s="1">
        <v>3312.4</v>
      </c>
      <c r="H535" s="1">
        <v>21199</v>
      </c>
      <c r="M535" t="s">
        <v>812</v>
      </c>
      <c r="N535" t="s">
        <v>1590</v>
      </c>
    </row>
    <row r="536" spans="1:14" x14ac:dyDescent="0.25">
      <c r="A536" t="s">
        <v>813</v>
      </c>
      <c r="B536" t="str">
        <f t="shared" si="16"/>
        <v>p__Bacillota_B</v>
      </c>
      <c r="C536" s="1">
        <v>265</v>
      </c>
      <c r="D536" s="3">
        <v>1111926</v>
      </c>
      <c r="E536" s="3">
        <f t="shared" si="17"/>
        <v>1.111926</v>
      </c>
      <c r="F536" s="2">
        <v>2002</v>
      </c>
      <c r="G536" s="1">
        <v>4195.8999999999996</v>
      </c>
      <c r="H536" s="1">
        <v>20974</v>
      </c>
      <c r="M536" t="s">
        <v>813</v>
      </c>
      <c r="N536" t="s">
        <v>1590</v>
      </c>
    </row>
    <row r="537" spans="1:14" x14ac:dyDescent="0.25">
      <c r="A537" t="s">
        <v>814</v>
      </c>
      <c r="B537" t="str">
        <f t="shared" si="16"/>
        <v>p__Bacillota_B</v>
      </c>
      <c r="C537" s="1">
        <v>406</v>
      </c>
      <c r="D537" s="3">
        <v>1424896</v>
      </c>
      <c r="E537" s="3">
        <f t="shared" si="17"/>
        <v>1.4248959999999999</v>
      </c>
      <c r="F537" s="2">
        <v>2001</v>
      </c>
      <c r="G537" s="1">
        <v>3509.6</v>
      </c>
      <c r="H537" s="1">
        <v>41498</v>
      </c>
      <c r="M537" t="s">
        <v>814</v>
      </c>
      <c r="N537" t="s">
        <v>1590</v>
      </c>
    </row>
    <row r="538" spans="1:14" x14ac:dyDescent="0.25">
      <c r="A538" t="s">
        <v>815</v>
      </c>
      <c r="B538" t="str">
        <f t="shared" si="16"/>
        <v>p__Bacillota_B</v>
      </c>
      <c r="C538" s="1">
        <v>291</v>
      </c>
      <c r="D538" s="3">
        <v>2505882</v>
      </c>
      <c r="E538" s="3">
        <f t="shared" si="17"/>
        <v>2.5058820000000002</v>
      </c>
      <c r="F538" s="2">
        <v>2005</v>
      </c>
      <c r="G538" s="1">
        <v>8611.2999999999993</v>
      </c>
      <c r="H538" s="1">
        <v>126920</v>
      </c>
      <c r="M538" t="s">
        <v>815</v>
      </c>
      <c r="N538" t="s">
        <v>1590</v>
      </c>
    </row>
    <row r="539" spans="1:14" x14ac:dyDescent="0.25">
      <c r="A539" t="s">
        <v>1224</v>
      </c>
      <c r="B539" t="str">
        <f t="shared" si="16"/>
        <v>p__Bacillota_B</v>
      </c>
      <c r="C539" s="1">
        <v>321</v>
      </c>
      <c r="D539" s="3">
        <v>1065477</v>
      </c>
      <c r="E539" s="3">
        <f t="shared" si="17"/>
        <v>1.065477</v>
      </c>
      <c r="F539" s="2">
        <v>2000</v>
      </c>
      <c r="G539" s="1">
        <v>3319.2</v>
      </c>
      <c r="H539" s="1">
        <v>10137</v>
      </c>
      <c r="M539" t="s">
        <v>1224</v>
      </c>
      <c r="N539" t="s">
        <v>1590</v>
      </c>
    </row>
    <row r="540" spans="1:14" x14ac:dyDescent="0.25">
      <c r="A540" t="s">
        <v>1225</v>
      </c>
      <c r="B540" t="str">
        <f t="shared" si="16"/>
        <v>p__Bacillota_B</v>
      </c>
      <c r="C540" s="1">
        <v>15</v>
      </c>
      <c r="D540" s="3">
        <v>1360861</v>
      </c>
      <c r="E540" s="3">
        <f t="shared" si="17"/>
        <v>1.3608610000000001</v>
      </c>
      <c r="F540" s="1">
        <v>2248</v>
      </c>
      <c r="G540" s="2">
        <v>90724.1</v>
      </c>
      <c r="H540" s="1">
        <v>503010</v>
      </c>
      <c r="M540" t="s">
        <v>1225</v>
      </c>
      <c r="N540" t="s">
        <v>1590</v>
      </c>
    </row>
    <row r="541" spans="1:14" x14ac:dyDescent="0.25">
      <c r="A541" t="s">
        <v>46</v>
      </c>
      <c r="B541" t="str">
        <f t="shared" si="16"/>
        <v>p__Bacillota_C</v>
      </c>
      <c r="C541" s="1">
        <v>431</v>
      </c>
      <c r="D541" s="3">
        <v>1799772</v>
      </c>
      <c r="E541" s="3">
        <f t="shared" si="17"/>
        <v>1.7997719999999999</v>
      </c>
      <c r="F541" s="2">
        <v>2001</v>
      </c>
      <c r="G541" s="1">
        <v>4175.8</v>
      </c>
      <c r="H541" s="1">
        <v>13913</v>
      </c>
      <c r="M541" t="s">
        <v>46</v>
      </c>
      <c r="N541" t="s">
        <v>1591</v>
      </c>
    </row>
    <row r="542" spans="1:14" x14ac:dyDescent="0.25">
      <c r="A542" t="s">
        <v>47</v>
      </c>
      <c r="B542" t="str">
        <f t="shared" si="16"/>
        <v>p__Bacillota_C</v>
      </c>
      <c r="C542" s="1">
        <v>19</v>
      </c>
      <c r="D542" s="3">
        <v>1784821</v>
      </c>
      <c r="E542" s="3">
        <f t="shared" si="17"/>
        <v>1.784821</v>
      </c>
      <c r="F542" s="1">
        <v>3641</v>
      </c>
      <c r="G542" s="2">
        <v>93937.9</v>
      </c>
      <c r="H542" s="1">
        <v>327883</v>
      </c>
      <c r="M542" t="s">
        <v>47</v>
      </c>
      <c r="N542" t="s">
        <v>1591</v>
      </c>
    </row>
    <row r="543" spans="1:14" x14ac:dyDescent="0.25">
      <c r="A543" t="s">
        <v>48</v>
      </c>
      <c r="B543" t="str">
        <f t="shared" si="16"/>
        <v>p__Bacillota_C</v>
      </c>
      <c r="C543" s="1">
        <v>5</v>
      </c>
      <c r="D543" s="3">
        <v>2817948</v>
      </c>
      <c r="E543" s="3">
        <f t="shared" si="17"/>
        <v>2.8179479999999999</v>
      </c>
      <c r="F543" s="1">
        <v>135666</v>
      </c>
      <c r="G543" s="2">
        <v>563589.6</v>
      </c>
      <c r="H543" s="1">
        <v>802353</v>
      </c>
      <c r="M543" t="s">
        <v>48</v>
      </c>
      <c r="N543" t="s">
        <v>1591</v>
      </c>
    </row>
    <row r="544" spans="1:14" x14ac:dyDescent="0.25">
      <c r="A544" t="s">
        <v>431</v>
      </c>
      <c r="B544" t="str">
        <f t="shared" si="16"/>
        <v>p__Bacillota_C</v>
      </c>
      <c r="C544" s="1">
        <v>52</v>
      </c>
      <c r="D544" s="3">
        <v>2277085</v>
      </c>
      <c r="E544" s="3">
        <f t="shared" si="17"/>
        <v>2.277085</v>
      </c>
      <c r="F544" s="1">
        <v>2086</v>
      </c>
      <c r="G544" s="2">
        <v>43790.1</v>
      </c>
      <c r="H544" s="1">
        <v>395839</v>
      </c>
      <c r="M544" t="s">
        <v>431</v>
      </c>
      <c r="N544" t="s">
        <v>1591</v>
      </c>
    </row>
    <row r="545" spans="1:14" x14ac:dyDescent="0.25">
      <c r="A545" t="s">
        <v>432</v>
      </c>
      <c r="B545" t="str">
        <f t="shared" si="16"/>
        <v>p__Bacillota_C</v>
      </c>
      <c r="C545" s="1">
        <v>43</v>
      </c>
      <c r="D545" s="3">
        <v>1995199</v>
      </c>
      <c r="E545" s="3">
        <f t="shared" si="17"/>
        <v>1.9951989999999999</v>
      </c>
      <c r="F545" s="1">
        <v>2085</v>
      </c>
      <c r="G545" s="1">
        <v>46400</v>
      </c>
      <c r="H545" s="1">
        <v>428209</v>
      </c>
      <c r="M545" t="s">
        <v>432</v>
      </c>
      <c r="N545" t="s">
        <v>1591</v>
      </c>
    </row>
    <row r="546" spans="1:14" x14ac:dyDescent="0.25">
      <c r="A546" t="s">
        <v>816</v>
      </c>
      <c r="B546" t="str">
        <f t="shared" si="16"/>
        <v>p__Bacillota_C</v>
      </c>
      <c r="C546" s="1">
        <v>68</v>
      </c>
      <c r="D546" s="3">
        <v>1587347</v>
      </c>
      <c r="E546" s="3">
        <f t="shared" si="17"/>
        <v>1.5873470000000001</v>
      </c>
      <c r="F546" s="1">
        <v>2022</v>
      </c>
      <c r="G546" s="2">
        <v>23343.3</v>
      </c>
      <c r="H546" s="1">
        <v>258786</v>
      </c>
      <c r="M546" t="s">
        <v>816</v>
      </c>
      <c r="N546" t="s">
        <v>1591</v>
      </c>
    </row>
    <row r="547" spans="1:14" x14ac:dyDescent="0.25">
      <c r="A547" t="s">
        <v>817</v>
      </c>
      <c r="B547" t="str">
        <f t="shared" si="16"/>
        <v>p__Bacillota_C</v>
      </c>
      <c r="C547" s="1">
        <v>48</v>
      </c>
      <c r="D547" s="3">
        <v>2650618</v>
      </c>
      <c r="E547" s="3">
        <f t="shared" si="17"/>
        <v>2.6506180000000001</v>
      </c>
      <c r="F547" s="1">
        <v>6203</v>
      </c>
      <c r="G547" s="2">
        <v>55221.2</v>
      </c>
      <c r="H547" s="1">
        <v>253196</v>
      </c>
      <c r="M547" t="s">
        <v>817</v>
      </c>
      <c r="N547" t="s">
        <v>1591</v>
      </c>
    </row>
    <row r="548" spans="1:14" x14ac:dyDescent="0.25">
      <c r="A548" t="s">
        <v>1246</v>
      </c>
      <c r="B548" t="str">
        <f t="shared" si="16"/>
        <v>p__Bacillota_C</v>
      </c>
      <c r="C548" s="1">
        <v>7</v>
      </c>
      <c r="D548" s="3">
        <v>2452512</v>
      </c>
      <c r="E548" s="3">
        <f t="shared" si="17"/>
        <v>2.452512</v>
      </c>
      <c r="F548" s="1">
        <v>2492</v>
      </c>
      <c r="G548" s="2">
        <v>350358.9</v>
      </c>
      <c r="H548" s="1">
        <v>1576485</v>
      </c>
      <c r="M548" t="s">
        <v>1246</v>
      </c>
      <c r="N548" t="s">
        <v>1591</v>
      </c>
    </row>
    <row r="549" spans="1:14" x14ac:dyDescent="0.25">
      <c r="A549" t="s">
        <v>1247</v>
      </c>
      <c r="B549" t="str">
        <f t="shared" si="16"/>
        <v>p__Bacillota_C</v>
      </c>
      <c r="C549" s="1">
        <v>108</v>
      </c>
      <c r="D549" s="3">
        <v>1733233</v>
      </c>
      <c r="E549" s="3">
        <f t="shared" si="17"/>
        <v>1.733233</v>
      </c>
      <c r="F549" s="2">
        <v>2018</v>
      </c>
      <c r="G549" s="1">
        <v>16048.5</v>
      </c>
      <c r="H549" s="1">
        <v>134330</v>
      </c>
      <c r="M549" t="s">
        <v>1247</v>
      </c>
      <c r="N549" t="s">
        <v>1591</v>
      </c>
    </row>
    <row r="550" spans="1:14" x14ac:dyDescent="0.25">
      <c r="A550" t="s">
        <v>1248</v>
      </c>
      <c r="B550" t="str">
        <f t="shared" si="16"/>
        <v>p__Bacillota_C</v>
      </c>
      <c r="C550" s="1">
        <v>158</v>
      </c>
      <c r="D550" s="3">
        <v>1458599</v>
      </c>
      <c r="E550" s="3">
        <f t="shared" si="17"/>
        <v>1.458599</v>
      </c>
      <c r="F550" s="2">
        <v>2002</v>
      </c>
      <c r="G550" s="1">
        <v>9231.6</v>
      </c>
      <c r="H550" s="1">
        <v>100216</v>
      </c>
      <c r="M550" t="s">
        <v>1248</v>
      </c>
      <c r="N550" t="s">
        <v>1591</v>
      </c>
    </row>
    <row r="551" spans="1:14" x14ac:dyDescent="0.25">
      <c r="A551" t="s">
        <v>818</v>
      </c>
      <c r="B551" t="str">
        <f t="shared" si="16"/>
        <v>p__Bacillota_G</v>
      </c>
      <c r="C551" s="1">
        <v>174</v>
      </c>
      <c r="D551" s="3">
        <v>1067476</v>
      </c>
      <c r="E551" s="3">
        <f t="shared" si="17"/>
        <v>1.0674760000000001</v>
      </c>
      <c r="F551" s="2">
        <v>2505</v>
      </c>
      <c r="G551" s="1">
        <v>6134.9</v>
      </c>
      <c r="H551" s="1">
        <v>67575</v>
      </c>
      <c r="M551" t="s">
        <v>818</v>
      </c>
      <c r="N551" t="s">
        <v>1592</v>
      </c>
    </row>
    <row r="552" spans="1:14" x14ac:dyDescent="0.25">
      <c r="A552" t="s">
        <v>1249</v>
      </c>
      <c r="B552" t="str">
        <f t="shared" si="16"/>
        <v>p__Bacillota_G</v>
      </c>
      <c r="C552" s="1">
        <v>199</v>
      </c>
      <c r="D552" s="3">
        <v>2263184</v>
      </c>
      <c r="E552" s="3">
        <f t="shared" si="17"/>
        <v>2.2631839999999999</v>
      </c>
      <c r="F552" s="2">
        <v>2525</v>
      </c>
      <c r="G552" s="1">
        <v>11372.8</v>
      </c>
      <c r="H552" s="1">
        <v>95457</v>
      </c>
      <c r="M552" t="s">
        <v>1249</v>
      </c>
      <c r="N552" t="s">
        <v>1592</v>
      </c>
    </row>
    <row r="553" spans="1:14" x14ac:dyDescent="0.25">
      <c r="A553" t="s">
        <v>49</v>
      </c>
      <c r="B553" t="str">
        <f t="shared" si="16"/>
        <v>p__Bacillota_I</v>
      </c>
      <c r="C553" s="1">
        <v>331</v>
      </c>
      <c r="D553" s="3">
        <v>2117840</v>
      </c>
      <c r="E553" s="3">
        <f t="shared" si="17"/>
        <v>2.1178400000000002</v>
      </c>
      <c r="F553" s="2">
        <v>2503</v>
      </c>
      <c r="G553" s="1">
        <v>6398.3</v>
      </c>
      <c r="H553" s="1">
        <v>30216</v>
      </c>
      <c r="M553" t="s">
        <v>49</v>
      </c>
      <c r="N553" t="s">
        <v>1593</v>
      </c>
    </row>
    <row r="554" spans="1:14" x14ac:dyDescent="0.25">
      <c r="A554" t="s">
        <v>50</v>
      </c>
      <c r="B554" t="str">
        <f t="shared" si="16"/>
        <v>p__Bacillota_I</v>
      </c>
      <c r="C554" s="1">
        <v>12</v>
      </c>
      <c r="D554" s="3">
        <v>1840800</v>
      </c>
      <c r="E554" s="3">
        <f t="shared" si="17"/>
        <v>1.8408</v>
      </c>
      <c r="F554" s="1">
        <v>40276</v>
      </c>
      <c r="G554" s="1">
        <v>153400</v>
      </c>
      <c r="H554" s="1">
        <v>303727</v>
      </c>
      <c r="M554" t="s">
        <v>50</v>
      </c>
      <c r="N554" t="s">
        <v>1593</v>
      </c>
    </row>
    <row r="555" spans="1:14" x14ac:dyDescent="0.25">
      <c r="A555" t="s">
        <v>51</v>
      </c>
      <c r="B555" t="str">
        <f t="shared" si="16"/>
        <v>p__Bacillota_I</v>
      </c>
      <c r="C555" s="1">
        <v>4</v>
      </c>
      <c r="D555" s="3">
        <v>1354701</v>
      </c>
      <c r="E555" s="3">
        <f t="shared" si="17"/>
        <v>1.3547009999999999</v>
      </c>
      <c r="F555" s="1">
        <v>195649</v>
      </c>
      <c r="G555" s="2">
        <v>338675.3</v>
      </c>
      <c r="H555" s="1">
        <v>528674</v>
      </c>
      <c r="M555" t="s">
        <v>51</v>
      </c>
      <c r="N555" t="s">
        <v>1593</v>
      </c>
    </row>
    <row r="556" spans="1:14" x14ac:dyDescent="0.25">
      <c r="A556" t="s">
        <v>52</v>
      </c>
      <c r="B556" t="str">
        <f t="shared" si="16"/>
        <v>p__Bacillota_I</v>
      </c>
      <c r="C556" s="1">
        <v>4</v>
      </c>
      <c r="D556" s="3">
        <v>1712576</v>
      </c>
      <c r="E556" s="3">
        <f t="shared" si="17"/>
        <v>1.7125760000000001</v>
      </c>
      <c r="F556" s="1">
        <v>2586</v>
      </c>
      <c r="G556" s="1">
        <v>428144</v>
      </c>
      <c r="H556" s="1">
        <v>1689340</v>
      </c>
      <c r="M556" t="s">
        <v>52</v>
      </c>
      <c r="N556" t="s">
        <v>1593</v>
      </c>
    </row>
    <row r="557" spans="1:14" x14ac:dyDescent="0.25">
      <c r="A557" t="s">
        <v>433</v>
      </c>
      <c r="B557" t="str">
        <f t="shared" si="16"/>
        <v>p__Bacillota_I</v>
      </c>
      <c r="C557" s="1">
        <v>8</v>
      </c>
      <c r="D557" s="3">
        <v>811076</v>
      </c>
      <c r="E557" s="3">
        <f t="shared" si="17"/>
        <v>0.81107600000000002</v>
      </c>
      <c r="F557" s="1">
        <v>13632</v>
      </c>
      <c r="G557" s="2">
        <v>101384.5</v>
      </c>
      <c r="H557" s="1">
        <v>425322</v>
      </c>
      <c r="M557" t="s">
        <v>433</v>
      </c>
      <c r="N557" t="s">
        <v>1593</v>
      </c>
    </row>
    <row r="558" spans="1:14" x14ac:dyDescent="0.25">
      <c r="A558" t="s">
        <v>434</v>
      </c>
      <c r="B558" t="str">
        <f t="shared" si="16"/>
        <v>p__Bacillota_I</v>
      </c>
      <c r="C558" s="1">
        <v>25</v>
      </c>
      <c r="D558" s="3">
        <v>1121993</v>
      </c>
      <c r="E558" s="3">
        <f t="shared" si="17"/>
        <v>1.121993</v>
      </c>
      <c r="F558" s="1">
        <v>2766</v>
      </c>
      <c r="G558" s="2">
        <v>44879.7</v>
      </c>
      <c r="H558" s="1">
        <v>109831</v>
      </c>
      <c r="M558" t="s">
        <v>434</v>
      </c>
      <c r="N558" t="s">
        <v>1593</v>
      </c>
    </row>
    <row r="559" spans="1:14" x14ac:dyDescent="0.25">
      <c r="A559" t="s">
        <v>435</v>
      </c>
      <c r="B559" t="str">
        <f t="shared" si="16"/>
        <v>p__Bacillota_I</v>
      </c>
      <c r="C559" s="1">
        <v>17</v>
      </c>
      <c r="D559" s="3">
        <v>1455232</v>
      </c>
      <c r="E559" s="3">
        <f t="shared" si="17"/>
        <v>1.4552320000000001</v>
      </c>
      <c r="F559" s="1">
        <v>7600</v>
      </c>
      <c r="G559" s="2">
        <v>85601.9</v>
      </c>
      <c r="H559" s="1">
        <v>363729</v>
      </c>
      <c r="M559" t="s">
        <v>435</v>
      </c>
      <c r="N559" t="s">
        <v>1593</v>
      </c>
    </row>
    <row r="560" spans="1:14" x14ac:dyDescent="0.25">
      <c r="A560" t="s">
        <v>436</v>
      </c>
      <c r="B560" t="str">
        <f t="shared" si="16"/>
        <v>p__Bacillota_I</v>
      </c>
      <c r="C560" s="1">
        <v>43</v>
      </c>
      <c r="D560" s="3">
        <v>1579896</v>
      </c>
      <c r="E560" s="3">
        <f t="shared" si="17"/>
        <v>1.579896</v>
      </c>
      <c r="F560" s="1">
        <v>2143</v>
      </c>
      <c r="G560" s="2">
        <v>36741.800000000003</v>
      </c>
      <c r="H560" s="1">
        <v>776790</v>
      </c>
      <c r="M560" t="s">
        <v>436</v>
      </c>
      <c r="N560" t="s">
        <v>1593</v>
      </c>
    </row>
    <row r="561" spans="1:14" x14ac:dyDescent="0.25">
      <c r="A561" t="s">
        <v>437</v>
      </c>
      <c r="B561" t="str">
        <f t="shared" si="16"/>
        <v>p__Bacillota_I</v>
      </c>
      <c r="C561" s="1">
        <v>22</v>
      </c>
      <c r="D561" s="3">
        <v>1753725</v>
      </c>
      <c r="E561" s="3">
        <f t="shared" si="17"/>
        <v>1.753725</v>
      </c>
      <c r="F561" s="1">
        <v>8899</v>
      </c>
      <c r="G561" s="2">
        <v>79714.8</v>
      </c>
      <c r="H561" s="1">
        <v>698159</v>
      </c>
      <c r="M561" t="s">
        <v>437</v>
      </c>
      <c r="N561" t="s">
        <v>1593</v>
      </c>
    </row>
    <row r="562" spans="1:14" x14ac:dyDescent="0.25">
      <c r="A562" t="s">
        <v>438</v>
      </c>
      <c r="B562" t="str">
        <f t="shared" si="16"/>
        <v>p__Bacillota_I</v>
      </c>
      <c r="C562" s="1">
        <v>5</v>
      </c>
      <c r="D562" s="3">
        <v>1358066</v>
      </c>
      <c r="E562" s="3">
        <f t="shared" si="17"/>
        <v>1.358066</v>
      </c>
      <c r="F562" s="1">
        <v>2752</v>
      </c>
      <c r="G562" s="2">
        <v>271613.2</v>
      </c>
      <c r="H562" s="1">
        <v>608184</v>
      </c>
      <c r="M562" t="s">
        <v>438</v>
      </c>
      <c r="N562" t="s">
        <v>1593</v>
      </c>
    </row>
    <row r="563" spans="1:14" x14ac:dyDescent="0.25">
      <c r="A563" t="s">
        <v>439</v>
      </c>
      <c r="B563" t="str">
        <f t="shared" si="16"/>
        <v>p__Bacillota_I</v>
      </c>
      <c r="C563" s="1">
        <v>23</v>
      </c>
      <c r="D563" s="3">
        <v>1535081</v>
      </c>
      <c r="E563" s="3">
        <f t="shared" si="17"/>
        <v>1.5350809999999999</v>
      </c>
      <c r="F563" s="1">
        <v>5614</v>
      </c>
      <c r="G563" s="2">
        <v>66742.7</v>
      </c>
      <c r="H563" s="1">
        <v>209808</v>
      </c>
      <c r="M563" t="s">
        <v>439</v>
      </c>
      <c r="N563" t="s">
        <v>1593</v>
      </c>
    </row>
    <row r="564" spans="1:14" x14ac:dyDescent="0.25">
      <c r="A564" t="s">
        <v>440</v>
      </c>
      <c r="B564" t="str">
        <f t="shared" si="16"/>
        <v>p__Bacillota_I</v>
      </c>
      <c r="C564" s="1">
        <v>134</v>
      </c>
      <c r="D564" s="3">
        <v>1642456</v>
      </c>
      <c r="E564" s="3">
        <f t="shared" si="17"/>
        <v>1.6424559999999999</v>
      </c>
      <c r="F564" s="2">
        <v>2500</v>
      </c>
      <c r="G564" s="1">
        <v>12257.1</v>
      </c>
      <c r="H564" s="1">
        <v>103079</v>
      </c>
      <c r="M564" t="s">
        <v>440</v>
      </c>
      <c r="N564" t="s">
        <v>1593</v>
      </c>
    </row>
    <row r="565" spans="1:14" x14ac:dyDescent="0.25">
      <c r="A565" t="s">
        <v>441</v>
      </c>
      <c r="B565" t="str">
        <f t="shared" si="16"/>
        <v>p__Bacillota_I</v>
      </c>
      <c r="C565" s="1">
        <v>6</v>
      </c>
      <c r="D565" s="3">
        <v>1773892</v>
      </c>
      <c r="E565" s="3">
        <f t="shared" si="17"/>
        <v>1.773892</v>
      </c>
      <c r="F565" s="1">
        <v>13449</v>
      </c>
      <c r="G565" s="2">
        <v>295648.7</v>
      </c>
      <c r="H565" s="1">
        <v>1035821</v>
      </c>
      <c r="M565" t="s">
        <v>441</v>
      </c>
      <c r="N565" t="s">
        <v>1593</v>
      </c>
    </row>
    <row r="566" spans="1:14" x14ac:dyDescent="0.25">
      <c r="A566" t="s">
        <v>442</v>
      </c>
      <c r="B566" t="str">
        <f t="shared" si="16"/>
        <v>p__Bacillota_I</v>
      </c>
      <c r="C566" s="1">
        <v>88</v>
      </c>
      <c r="D566" s="3">
        <v>1766398</v>
      </c>
      <c r="E566" s="3">
        <f t="shared" si="17"/>
        <v>1.7663979999999999</v>
      </c>
      <c r="F566" s="1">
        <v>2011</v>
      </c>
      <c r="G566" s="2">
        <v>20072.7</v>
      </c>
      <c r="H566" s="1">
        <v>209550</v>
      </c>
      <c r="M566" t="s">
        <v>442</v>
      </c>
      <c r="N566" t="s">
        <v>1593</v>
      </c>
    </row>
    <row r="567" spans="1:14" x14ac:dyDescent="0.25">
      <c r="A567" t="s">
        <v>443</v>
      </c>
      <c r="B567" t="str">
        <f t="shared" si="16"/>
        <v>p__Bacillota_I</v>
      </c>
      <c r="C567" s="1">
        <v>37</v>
      </c>
      <c r="D567" s="3">
        <v>826474</v>
      </c>
      <c r="E567" s="3">
        <f t="shared" si="17"/>
        <v>0.82647400000000004</v>
      </c>
      <c r="F567" s="1">
        <v>2103</v>
      </c>
      <c r="G567" s="2">
        <v>22337.1</v>
      </c>
      <c r="H567" s="1">
        <v>81471</v>
      </c>
      <c r="M567" t="s">
        <v>443</v>
      </c>
      <c r="N567" t="s">
        <v>1593</v>
      </c>
    </row>
    <row r="568" spans="1:14" x14ac:dyDescent="0.25">
      <c r="A568" t="s">
        <v>444</v>
      </c>
      <c r="B568" t="str">
        <f t="shared" si="16"/>
        <v>p__Bacillota_I</v>
      </c>
      <c r="C568" s="1">
        <v>57</v>
      </c>
      <c r="D568" s="3">
        <v>2124218</v>
      </c>
      <c r="E568" s="3">
        <f t="shared" si="17"/>
        <v>2.1242179999999999</v>
      </c>
      <c r="F568" s="1">
        <v>2013</v>
      </c>
      <c r="G568" s="1">
        <v>37267</v>
      </c>
      <c r="H568" s="1">
        <v>387239</v>
      </c>
      <c r="M568" t="s">
        <v>444</v>
      </c>
      <c r="N568" t="s">
        <v>1593</v>
      </c>
    </row>
    <row r="569" spans="1:14" x14ac:dyDescent="0.25">
      <c r="A569" t="s">
        <v>445</v>
      </c>
      <c r="B569" t="str">
        <f t="shared" si="16"/>
        <v>p__Bacillota_I</v>
      </c>
      <c r="C569" s="1">
        <v>1</v>
      </c>
      <c r="D569" s="3">
        <v>1728552</v>
      </c>
      <c r="E569" s="3">
        <f t="shared" si="17"/>
        <v>1.7285520000000001</v>
      </c>
      <c r="F569" s="1">
        <v>1728552</v>
      </c>
      <c r="G569" s="1">
        <v>1728552</v>
      </c>
      <c r="H569" s="1">
        <v>1728552</v>
      </c>
      <c r="M569" t="s">
        <v>445</v>
      </c>
      <c r="N569" t="s">
        <v>1593</v>
      </c>
    </row>
    <row r="570" spans="1:14" x14ac:dyDescent="0.25">
      <c r="A570" t="s">
        <v>446</v>
      </c>
      <c r="B570" t="str">
        <f t="shared" si="16"/>
        <v>p__Bacillota_I</v>
      </c>
      <c r="C570" s="1">
        <v>14</v>
      </c>
      <c r="D570" s="3">
        <v>1538667</v>
      </c>
      <c r="E570" s="3">
        <f t="shared" si="17"/>
        <v>1.538667</v>
      </c>
      <c r="F570" s="1">
        <v>17697</v>
      </c>
      <c r="G570" s="2">
        <v>109904.8</v>
      </c>
      <c r="H570" s="1">
        <v>296863</v>
      </c>
      <c r="M570" t="s">
        <v>446</v>
      </c>
      <c r="N570" t="s">
        <v>1593</v>
      </c>
    </row>
    <row r="571" spans="1:14" x14ac:dyDescent="0.25">
      <c r="A571" t="s">
        <v>447</v>
      </c>
      <c r="B571" t="str">
        <f t="shared" si="16"/>
        <v>p__Bacillota_I</v>
      </c>
      <c r="C571" s="1">
        <v>27</v>
      </c>
      <c r="D571" s="3">
        <v>1346762</v>
      </c>
      <c r="E571" s="3">
        <f t="shared" si="17"/>
        <v>1.346762</v>
      </c>
      <c r="F571" s="1">
        <v>8932</v>
      </c>
      <c r="G571" s="2">
        <v>49880.1</v>
      </c>
      <c r="H571" s="1">
        <v>111170</v>
      </c>
      <c r="M571" t="s">
        <v>447</v>
      </c>
      <c r="N571" t="s">
        <v>1593</v>
      </c>
    </row>
    <row r="572" spans="1:14" x14ac:dyDescent="0.25">
      <c r="A572" t="s">
        <v>448</v>
      </c>
      <c r="B572" t="str">
        <f t="shared" si="16"/>
        <v>p__Bacillota_I</v>
      </c>
      <c r="C572" s="1">
        <v>17</v>
      </c>
      <c r="D572" s="3">
        <v>768621</v>
      </c>
      <c r="E572" s="3">
        <f t="shared" si="17"/>
        <v>0.768621</v>
      </c>
      <c r="F572" s="1">
        <v>13726</v>
      </c>
      <c r="G572" s="1">
        <v>45213</v>
      </c>
      <c r="H572" s="1">
        <v>135981</v>
      </c>
      <c r="M572" t="s">
        <v>448</v>
      </c>
      <c r="N572" t="s">
        <v>1593</v>
      </c>
    </row>
    <row r="573" spans="1:14" x14ac:dyDescent="0.25">
      <c r="A573" t="s">
        <v>449</v>
      </c>
      <c r="B573" t="str">
        <f t="shared" si="16"/>
        <v>p__Bacillota_I</v>
      </c>
      <c r="C573" s="1">
        <v>17</v>
      </c>
      <c r="D573" s="3">
        <v>772906</v>
      </c>
      <c r="E573" s="3">
        <f t="shared" si="17"/>
        <v>0.77290599999999998</v>
      </c>
      <c r="F573" s="1">
        <v>4710</v>
      </c>
      <c r="G573" s="2">
        <v>45465.1</v>
      </c>
      <c r="H573" s="1">
        <v>92772</v>
      </c>
      <c r="M573" t="s">
        <v>449</v>
      </c>
      <c r="N573" t="s">
        <v>1593</v>
      </c>
    </row>
    <row r="574" spans="1:14" x14ac:dyDescent="0.25">
      <c r="A574" t="s">
        <v>450</v>
      </c>
      <c r="B574" t="str">
        <f t="shared" si="16"/>
        <v>p__Bacillota_I</v>
      </c>
      <c r="C574" s="1">
        <v>16</v>
      </c>
      <c r="D574" s="3">
        <v>749057</v>
      </c>
      <c r="E574" s="3">
        <f t="shared" si="17"/>
        <v>0.74905699999999997</v>
      </c>
      <c r="F574" s="1">
        <v>17390</v>
      </c>
      <c r="G574" s="2">
        <v>46816.1</v>
      </c>
      <c r="H574" s="1">
        <v>131850</v>
      </c>
      <c r="M574" t="s">
        <v>450</v>
      </c>
      <c r="N574" t="s">
        <v>1593</v>
      </c>
    </row>
    <row r="575" spans="1:14" x14ac:dyDescent="0.25">
      <c r="A575" t="s">
        <v>451</v>
      </c>
      <c r="B575" t="str">
        <f t="shared" si="16"/>
        <v>p__Bacillota_I</v>
      </c>
      <c r="C575" s="1">
        <v>11</v>
      </c>
      <c r="D575" s="3">
        <v>941501</v>
      </c>
      <c r="E575" s="3">
        <f t="shared" si="17"/>
        <v>0.94150100000000003</v>
      </c>
      <c r="F575" s="1">
        <v>27044</v>
      </c>
      <c r="G575" s="1">
        <v>85591</v>
      </c>
      <c r="H575" s="1">
        <v>220686</v>
      </c>
      <c r="M575" t="s">
        <v>451</v>
      </c>
      <c r="N575" t="s">
        <v>1593</v>
      </c>
    </row>
    <row r="576" spans="1:14" x14ac:dyDescent="0.25">
      <c r="A576" t="s">
        <v>452</v>
      </c>
      <c r="B576" t="str">
        <f t="shared" si="16"/>
        <v>p__Bacillota_I</v>
      </c>
      <c r="C576" s="1">
        <v>6</v>
      </c>
      <c r="D576" s="3">
        <v>986040</v>
      </c>
      <c r="E576" s="3">
        <f t="shared" si="17"/>
        <v>0.98604000000000003</v>
      </c>
      <c r="F576" s="1">
        <v>18208</v>
      </c>
      <c r="G576" s="1">
        <v>164340</v>
      </c>
      <c r="H576" s="1">
        <v>668982</v>
      </c>
      <c r="M576" t="s">
        <v>452</v>
      </c>
      <c r="N576" t="s">
        <v>1593</v>
      </c>
    </row>
    <row r="577" spans="1:14" x14ac:dyDescent="0.25">
      <c r="A577" t="s">
        <v>453</v>
      </c>
      <c r="B577" t="str">
        <f t="shared" si="16"/>
        <v>p__Bacillota_I</v>
      </c>
      <c r="C577" s="1">
        <v>16</v>
      </c>
      <c r="D577" s="3">
        <v>1590651</v>
      </c>
      <c r="E577" s="3">
        <f t="shared" si="17"/>
        <v>1.590651</v>
      </c>
      <c r="F577" s="1">
        <v>6945</v>
      </c>
      <c r="G577" s="2">
        <v>99415.7</v>
      </c>
      <c r="H577" s="1">
        <v>260335</v>
      </c>
      <c r="M577" t="s">
        <v>453</v>
      </c>
      <c r="N577" t="s">
        <v>1593</v>
      </c>
    </row>
    <row r="578" spans="1:14" x14ac:dyDescent="0.25">
      <c r="A578" t="s">
        <v>454</v>
      </c>
      <c r="B578" t="str">
        <f t="shared" ref="B578:B641" si="18">VLOOKUP(A578,M:N,2,FALSE)</f>
        <v>p__Bacillota_I</v>
      </c>
      <c r="C578" s="1">
        <v>15</v>
      </c>
      <c r="D578" s="3">
        <v>1203701</v>
      </c>
      <c r="E578" s="3">
        <f t="shared" ref="E578:E641" si="19">D578/1000000</f>
        <v>1.2037009999999999</v>
      </c>
      <c r="F578" s="1">
        <v>11702</v>
      </c>
      <c r="G578" s="2">
        <v>80246.7</v>
      </c>
      <c r="H578" s="1">
        <v>201832</v>
      </c>
      <c r="M578" t="s">
        <v>454</v>
      </c>
      <c r="N578" t="s">
        <v>1593</v>
      </c>
    </row>
    <row r="579" spans="1:14" x14ac:dyDescent="0.25">
      <c r="A579" t="s">
        <v>455</v>
      </c>
      <c r="B579" t="str">
        <f t="shared" si="18"/>
        <v>p__Bacillota_I</v>
      </c>
      <c r="C579" s="1">
        <v>41</v>
      </c>
      <c r="D579" s="3">
        <v>1066358</v>
      </c>
      <c r="E579" s="3">
        <f t="shared" si="19"/>
        <v>1.0663579999999999</v>
      </c>
      <c r="F579" s="1">
        <v>3786</v>
      </c>
      <c r="G579" s="2">
        <v>26008.7</v>
      </c>
      <c r="H579" s="1">
        <v>67788</v>
      </c>
      <c r="M579" t="s">
        <v>455</v>
      </c>
      <c r="N579" t="s">
        <v>1593</v>
      </c>
    </row>
    <row r="580" spans="1:14" x14ac:dyDescent="0.25">
      <c r="A580" t="s">
        <v>456</v>
      </c>
      <c r="B580" t="str">
        <f t="shared" si="18"/>
        <v>p__Bacillota_I</v>
      </c>
      <c r="C580" s="1">
        <v>1</v>
      </c>
      <c r="D580" s="3">
        <v>954312</v>
      </c>
      <c r="E580" s="3">
        <f t="shared" si="19"/>
        <v>0.95431200000000005</v>
      </c>
      <c r="F580" s="1">
        <v>954312</v>
      </c>
      <c r="G580" s="1">
        <v>954312</v>
      </c>
      <c r="H580" s="1">
        <v>954312</v>
      </c>
      <c r="M580" t="s">
        <v>456</v>
      </c>
      <c r="N580" t="s">
        <v>1593</v>
      </c>
    </row>
    <row r="581" spans="1:14" x14ac:dyDescent="0.25">
      <c r="A581" t="s">
        <v>457</v>
      </c>
      <c r="B581" t="str">
        <f t="shared" si="18"/>
        <v>p__Bacillota_I</v>
      </c>
      <c r="C581" s="1">
        <v>18</v>
      </c>
      <c r="D581" s="3">
        <v>609492</v>
      </c>
      <c r="E581" s="3">
        <f t="shared" si="19"/>
        <v>0.60949200000000003</v>
      </c>
      <c r="F581" s="1">
        <v>7128</v>
      </c>
      <c r="G581" s="2">
        <v>33860.699999999997</v>
      </c>
      <c r="H581" s="1">
        <v>96917</v>
      </c>
      <c r="M581" t="s">
        <v>457</v>
      </c>
      <c r="N581" t="s">
        <v>1593</v>
      </c>
    </row>
    <row r="582" spans="1:14" x14ac:dyDescent="0.25">
      <c r="A582" t="s">
        <v>458</v>
      </c>
      <c r="B582" t="str">
        <f t="shared" si="18"/>
        <v>p__Bacillota_I</v>
      </c>
      <c r="C582" s="1">
        <v>22</v>
      </c>
      <c r="D582" s="3">
        <v>1225781</v>
      </c>
      <c r="E582" s="3">
        <f t="shared" si="19"/>
        <v>1.225781</v>
      </c>
      <c r="F582" s="1">
        <v>12718</v>
      </c>
      <c r="G582" s="2">
        <v>55717.3</v>
      </c>
      <c r="H582" s="1">
        <v>126379</v>
      </c>
      <c r="M582" t="s">
        <v>458</v>
      </c>
      <c r="N582" t="s">
        <v>1593</v>
      </c>
    </row>
    <row r="583" spans="1:14" x14ac:dyDescent="0.25">
      <c r="A583" t="s">
        <v>459</v>
      </c>
      <c r="B583" t="str">
        <f t="shared" si="18"/>
        <v>p__Bacillota_I</v>
      </c>
      <c r="C583" s="1">
        <v>6</v>
      </c>
      <c r="D583" s="3">
        <v>1372794</v>
      </c>
      <c r="E583" s="3">
        <f t="shared" si="19"/>
        <v>1.3727940000000001</v>
      </c>
      <c r="F583" s="1">
        <v>8285</v>
      </c>
      <c r="G583" s="1">
        <v>228799</v>
      </c>
      <c r="H583" s="1">
        <v>612370</v>
      </c>
      <c r="M583" t="s">
        <v>459</v>
      </c>
      <c r="N583" t="s">
        <v>1593</v>
      </c>
    </row>
    <row r="584" spans="1:14" x14ac:dyDescent="0.25">
      <c r="A584" t="s">
        <v>460</v>
      </c>
      <c r="B584" t="str">
        <f t="shared" si="18"/>
        <v>p__Bacillota_I</v>
      </c>
      <c r="C584" s="1">
        <v>176</v>
      </c>
      <c r="D584" s="3">
        <v>977356</v>
      </c>
      <c r="E584" s="3">
        <f t="shared" si="19"/>
        <v>0.977356</v>
      </c>
      <c r="F584" s="2">
        <v>2021</v>
      </c>
      <c r="G584" s="1">
        <v>5553.2</v>
      </c>
      <c r="H584" s="1">
        <v>31101</v>
      </c>
      <c r="M584" t="s">
        <v>460</v>
      </c>
      <c r="N584" t="s">
        <v>1593</v>
      </c>
    </row>
    <row r="585" spans="1:14" x14ac:dyDescent="0.25">
      <c r="A585" t="s">
        <v>819</v>
      </c>
      <c r="B585" t="str">
        <f t="shared" si="18"/>
        <v>p__Bacillota_I</v>
      </c>
      <c r="C585" s="1">
        <v>28</v>
      </c>
      <c r="D585" s="3">
        <v>1430360</v>
      </c>
      <c r="E585" s="3">
        <f t="shared" si="19"/>
        <v>1.4303600000000001</v>
      </c>
      <c r="F585" s="1">
        <v>12560</v>
      </c>
      <c r="G585" s="2">
        <v>51084.3</v>
      </c>
      <c r="H585" s="1">
        <v>170797</v>
      </c>
      <c r="M585" t="s">
        <v>819</v>
      </c>
      <c r="N585" t="s">
        <v>1593</v>
      </c>
    </row>
    <row r="586" spans="1:14" x14ac:dyDescent="0.25">
      <c r="A586" t="s">
        <v>820</v>
      </c>
      <c r="B586" t="str">
        <f t="shared" si="18"/>
        <v>p__Bacillota_I</v>
      </c>
      <c r="C586" s="1">
        <v>27</v>
      </c>
      <c r="D586" s="3">
        <v>1118297</v>
      </c>
      <c r="E586" s="3">
        <f t="shared" si="19"/>
        <v>1.1182970000000001</v>
      </c>
      <c r="F586" s="1">
        <v>9493</v>
      </c>
      <c r="G586" s="2">
        <v>41418.400000000001</v>
      </c>
      <c r="H586" s="1">
        <v>96491</v>
      </c>
      <c r="M586" t="s">
        <v>820</v>
      </c>
      <c r="N586" t="s">
        <v>1593</v>
      </c>
    </row>
    <row r="587" spans="1:14" x14ac:dyDescent="0.25">
      <c r="A587" t="s">
        <v>821</v>
      </c>
      <c r="B587" t="str">
        <f t="shared" si="18"/>
        <v>p__Bacillota_I</v>
      </c>
      <c r="C587" s="1">
        <v>25</v>
      </c>
      <c r="D587" s="3">
        <v>1002603</v>
      </c>
      <c r="E587" s="3">
        <f t="shared" si="19"/>
        <v>1.0026029999999999</v>
      </c>
      <c r="F587" s="1">
        <v>12803</v>
      </c>
      <c r="G587" s="2">
        <v>40104.1</v>
      </c>
      <c r="H587" s="1">
        <v>107919</v>
      </c>
      <c r="M587" t="s">
        <v>821</v>
      </c>
      <c r="N587" t="s">
        <v>1593</v>
      </c>
    </row>
    <row r="588" spans="1:14" x14ac:dyDescent="0.25">
      <c r="A588" t="s">
        <v>822</v>
      </c>
      <c r="B588" t="str">
        <f t="shared" si="18"/>
        <v>p__Bacillota_I</v>
      </c>
      <c r="C588" s="1">
        <v>15</v>
      </c>
      <c r="D588" s="3">
        <v>1487964</v>
      </c>
      <c r="E588" s="3">
        <f t="shared" si="19"/>
        <v>1.4879640000000001</v>
      </c>
      <c r="F588" s="1">
        <v>3058</v>
      </c>
      <c r="G588" s="2">
        <v>99197.6</v>
      </c>
      <c r="H588" s="1">
        <v>208480</v>
      </c>
      <c r="M588" t="s">
        <v>822</v>
      </c>
      <c r="N588" t="s">
        <v>1593</v>
      </c>
    </row>
    <row r="589" spans="1:14" x14ac:dyDescent="0.25">
      <c r="A589" t="s">
        <v>823</v>
      </c>
      <c r="B589" t="str">
        <f t="shared" si="18"/>
        <v>p__Bacillota_I</v>
      </c>
      <c r="C589" s="1">
        <v>61</v>
      </c>
      <c r="D589" s="3">
        <v>1609288</v>
      </c>
      <c r="E589" s="3">
        <f t="shared" si="19"/>
        <v>1.6092880000000001</v>
      </c>
      <c r="F589" s="1">
        <v>4675</v>
      </c>
      <c r="G589" s="2">
        <v>26381.8</v>
      </c>
      <c r="H589" s="1">
        <v>80057</v>
      </c>
      <c r="M589" t="s">
        <v>823</v>
      </c>
      <c r="N589" t="s">
        <v>1593</v>
      </c>
    </row>
    <row r="590" spans="1:14" x14ac:dyDescent="0.25">
      <c r="A590" t="s">
        <v>824</v>
      </c>
      <c r="B590" t="str">
        <f t="shared" si="18"/>
        <v>p__Bacillota_I</v>
      </c>
      <c r="C590" s="1">
        <v>21</v>
      </c>
      <c r="D590" s="3">
        <v>2013482</v>
      </c>
      <c r="E590" s="3">
        <f t="shared" si="19"/>
        <v>2.0134820000000002</v>
      </c>
      <c r="F590" s="1">
        <v>3795</v>
      </c>
      <c r="G590" s="2">
        <v>95880.1</v>
      </c>
      <c r="H590" s="1">
        <v>537869</v>
      </c>
      <c r="M590" t="s">
        <v>824</v>
      </c>
      <c r="N590" t="s">
        <v>1593</v>
      </c>
    </row>
    <row r="591" spans="1:14" x14ac:dyDescent="0.25">
      <c r="A591" t="s">
        <v>825</v>
      </c>
      <c r="B591" t="str">
        <f t="shared" si="18"/>
        <v>p__Bacillota_I</v>
      </c>
      <c r="C591" s="1">
        <v>18</v>
      </c>
      <c r="D591" s="3">
        <v>2127345</v>
      </c>
      <c r="E591" s="3">
        <f t="shared" si="19"/>
        <v>2.127345</v>
      </c>
      <c r="F591" s="1">
        <v>4597</v>
      </c>
      <c r="G591" s="2">
        <v>118185.8</v>
      </c>
      <c r="H591" s="1">
        <v>492209</v>
      </c>
      <c r="M591" t="s">
        <v>825</v>
      </c>
      <c r="N591" t="s">
        <v>1593</v>
      </c>
    </row>
    <row r="592" spans="1:14" x14ac:dyDescent="0.25">
      <c r="A592" t="s">
        <v>826</v>
      </c>
      <c r="B592" t="str">
        <f t="shared" si="18"/>
        <v>p__Bacillota_I</v>
      </c>
      <c r="C592" s="1">
        <v>11</v>
      </c>
      <c r="D592" s="3">
        <v>1904506</v>
      </c>
      <c r="E592" s="3">
        <f t="shared" si="19"/>
        <v>1.904506</v>
      </c>
      <c r="F592" s="1">
        <v>36038</v>
      </c>
      <c r="G592" s="2">
        <v>173136.9</v>
      </c>
      <c r="H592" s="1">
        <v>451258</v>
      </c>
      <c r="M592" t="s">
        <v>826</v>
      </c>
      <c r="N592" t="s">
        <v>1593</v>
      </c>
    </row>
    <row r="593" spans="1:14" x14ac:dyDescent="0.25">
      <c r="A593" t="s">
        <v>827</v>
      </c>
      <c r="B593" t="str">
        <f t="shared" si="18"/>
        <v>p__Bacillota_I</v>
      </c>
      <c r="C593" s="1">
        <v>13</v>
      </c>
      <c r="D593" s="3">
        <v>1846084</v>
      </c>
      <c r="E593" s="3">
        <f t="shared" si="19"/>
        <v>1.8460840000000001</v>
      </c>
      <c r="F593" s="1">
        <v>2587</v>
      </c>
      <c r="G593" s="2">
        <v>142006.5</v>
      </c>
      <c r="H593" s="1">
        <v>1024451</v>
      </c>
      <c r="M593" t="s">
        <v>827</v>
      </c>
      <c r="N593" t="s">
        <v>1593</v>
      </c>
    </row>
    <row r="594" spans="1:14" x14ac:dyDescent="0.25">
      <c r="A594" t="s">
        <v>828</v>
      </c>
      <c r="B594" t="str">
        <f t="shared" si="18"/>
        <v>p__Bacillota_I</v>
      </c>
      <c r="C594" s="1">
        <v>26</v>
      </c>
      <c r="D594" s="3">
        <v>851533</v>
      </c>
      <c r="E594" s="3">
        <f t="shared" si="19"/>
        <v>0.85153299999999998</v>
      </c>
      <c r="F594" s="1">
        <v>5337</v>
      </c>
      <c r="G594" s="2">
        <v>32751.3</v>
      </c>
      <c r="H594" s="1">
        <v>113665</v>
      </c>
      <c r="M594" t="s">
        <v>828</v>
      </c>
      <c r="N594" t="s">
        <v>1593</v>
      </c>
    </row>
    <row r="595" spans="1:14" x14ac:dyDescent="0.25">
      <c r="A595" t="s">
        <v>829</v>
      </c>
      <c r="B595" t="str">
        <f t="shared" si="18"/>
        <v>p__Bacillota_I</v>
      </c>
      <c r="C595" s="1">
        <v>30</v>
      </c>
      <c r="D595" s="3">
        <v>1252221</v>
      </c>
      <c r="E595" s="3">
        <f t="shared" si="19"/>
        <v>1.252221</v>
      </c>
      <c r="F595" s="1">
        <v>3005</v>
      </c>
      <c r="G595" s="2">
        <v>41740.699999999997</v>
      </c>
      <c r="H595" s="1">
        <v>193572</v>
      </c>
      <c r="M595" t="s">
        <v>829</v>
      </c>
      <c r="N595" t="s">
        <v>1593</v>
      </c>
    </row>
    <row r="596" spans="1:14" x14ac:dyDescent="0.25">
      <c r="A596" t="s">
        <v>830</v>
      </c>
      <c r="B596" t="str">
        <f t="shared" si="18"/>
        <v>p__Bacillota_I</v>
      </c>
      <c r="C596" s="1">
        <v>2</v>
      </c>
      <c r="D596" s="3">
        <v>1163033</v>
      </c>
      <c r="E596" s="3">
        <f t="shared" si="19"/>
        <v>1.163033</v>
      </c>
      <c r="F596" s="1">
        <v>5579</v>
      </c>
      <c r="G596" s="2">
        <v>581516.5</v>
      </c>
      <c r="H596" s="1">
        <v>1157454</v>
      </c>
      <c r="M596" t="s">
        <v>830</v>
      </c>
      <c r="N596" t="s">
        <v>1593</v>
      </c>
    </row>
    <row r="597" spans="1:14" x14ac:dyDescent="0.25">
      <c r="A597" t="s">
        <v>831</v>
      </c>
      <c r="B597" t="str">
        <f t="shared" si="18"/>
        <v>p__Bacillota_I</v>
      </c>
      <c r="C597" s="1">
        <v>7</v>
      </c>
      <c r="D597" s="3">
        <v>1144486</v>
      </c>
      <c r="E597" s="3">
        <f t="shared" si="19"/>
        <v>1.1444859999999999</v>
      </c>
      <c r="F597" s="1">
        <v>30008</v>
      </c>
      <c r="G597" s="1">
        <v>163498</v>
      </c>
      <c r="H597" s="1">
        <v>375259</v>
      </c>
      <c r="M597" t="s">
        <v>831</v>
      </c>
      <c r="N597" t="s">
        <v>1593</v>
      </c>
    </row>
    <row r="598" spans="1:14" x14ac:dyDescent="0.25">
      <c r="A598" t="s">
        <v>832</v>
      </c>
      <c r="B598" t="str">
        <f t="shared" si="18"/>
        <v>p__Bacillota_I</v>
      </c>
      <c r="C598" s="1">
        <v>25</v>
      </c>
      <c r="D598" s="3">
        <v>797871</v>
      </c>
      <c r="E598" s="3">
        <f t="shared" si="19"/>
        <v>0.797871</v>
      </c>
      <c r="F598" s="1">
        <v>3846</v>
      </c>
      <c r="G598" s="2">
        <v>31914.799999999999</v>
      </c>
      <c r="H598" s="1">
        <v>131568</v>
      </c>
      <c r="M598" t="s">
        <v>832</v>
      </c>
      <c r="N598" t="s">
        <v>1593</v>
      </c>
    </row>
    <row r="599" spans="1:14" x14ac:dyDescent="0.25">
      <c r="A599" t="s">
        <v>833</v>
      </c>
      <c r="B599" t="str">
        <f t="shared" si="18"/>
        <v>p__Bacillota_I</v>
      </c>
      <c r="C599" s="1">
        <v>9</v>
      </c>
      <c r="D599" s="3">
        <v>476411</v>
      </c>
      <c r="E599" s="3">
        <f t="shared" si="19"/>
        <v>0.47641099999999997</v>
      </c>
      <c r="F599" s="1">
        <v>4990</v>
      </c>
      <c r="G599" s="2">
        <v>52934.6</v>
      </c>
      <c r="H599" s="1">
        <v>157499</v>
      </c>
      <c r="M599" t="s">
        <v>833</v>
      </c>
      <c r="N599" t="s">
        <v>1593</v>
      </c>
    </row>
    <row r="600" spans="1:14" x14ac:dyDescent="0.25">
      <c r="A600" t="s">
        <v>834</v>
      </c>
      <c r="B600" t="str">
        <f t="shared" si="18"/>
        <v>p__Bacillota_I</v>
      </c>
      <c r="C600" s="1">
        <v>5</v>
      </c>
      <c r="D600" s="3">
        <v>876926</v>
      </c>
      <c r="E600" s="3">
        <f t="shared" si="19"/>
        <v>0.87692599999999998</v>
      </c>
      <c r="F600" s="1">
        <v>72960</v>
      </c>
      <c r="G600" s="2">
        <v>175385.2</v>
      </c>
      <c r="H600" s="1">
        <v>361896</v>
      </c>
      <c r="M600" t="s">
        <v>834</v>
      </c>
      <c r="N600" t="s">
        <v>1593</v>
      </c>
    </row>
    <row r="601" spans="1:14" x14ac:dyDescent="0.25">
      <c r="A601" t="s">
        <v>835</v>
      </c>
      <c r="B601" t="str">
        <f t="shared" si="18"/>
        <v>p__Bacillota_I</v>
      </c>
      <c r="C601" s="1">
        <v>58</v>
      </c>
      <c r="D601" s="3">
        <v>924530</v>
      </c>
      <c r="E601" s="3">
        <f t="shared" si="19"/>
        <v>0.92452999999999996</v>
      </c>
      <c r="F601" s="1">
        <v>2035</v>
      </c>
      <c r="G601" s="2">
        <v>15940.2</v>
      </c>
      <c r="H601" s="1">
        <v>85673</v>
      </c>
      <c r="M601" t="s">
        <v>835</v>
      </c>
      <c r="N601" t="s">
        <v>1593</v>
      </c>
    </row>
    <row r="602" spans="1:14" x14ac:dyDescent="0.25">
      <c r="A602" t="s">
        <v>836</v>
      </c>
      <c r="B602" t="str">
        <f t="shared" si="18"/>
        <v>p__Bacillota_I</v>
      </c>
      <c r="C602" s="1">
        <v>11</v>
      </c>
      <c r="D602" s="3">
        <v>799996</v>
      </c>
      <c r="E602" s="3">
        <f t="shared" si="19"/>
        <v>0.79999600000000004</v>
      </c>
      <c r="F602" s="1">
        <v>3767</v>
      </c>
      <c r="G602" s="2">
        <v>72726.899999999994</v>
      </c>
      <c r="H602" s="1">
        <v>155925</v>
      </c>
      <c r="M602" t="s">
        <v>836</v>
      </c>
      <c r="N602" t="s">
        <v>1593</v>
      </c>
    </row>
    <row r="603" spans="1:14" x14ac:dyDescent="0.25">
      <c r="A603" t="s">
        <v>1250</v>
      </c>
      <c r="B603" t="str">
        <f t="shared" si="18"/>
        <v>p__Bacillota_I</v>
      </c>
      <c r="C603" s="1">
        <v>11</v>
      </c>
      <c r="D603" s="3">
        <v>1422665</v>
      </c>
      <c r="E603" s="3">
        <f t="shared" si="19"/>
        <v>1.4226650000000001</v>
      </c>
      <c r="F603" s="1">
        <v>10576</v>
      </c>
      <c r="G603" s="2">
        <v>129333.2</v>
      </c>
      <c r="H603" s="1">
        <v>670408</v>
      </c>
      <c r="M603" t="s">
        <v>1250</v>
      </c>
      <c r="N603" t="s">
        <v>1593</v>
      </c>
    </row>
    <row r="604" spans="1:14" x14ac:dyDescent="0.25">
      <c r="A604" t="s">
        <v>1251</v>
      </c>
      <c r="B604" t="str">
        <f t="shared" si="18"/>
        <v>p__Bacillota_I</v>
      </c>
      <c r="C604" s="1">
        <v>1</v>
      </c>
      <c r="D604" s="3">
        <v>1595842</v>
      </c>
      <c r="E604" s="3">
        <f t="shared" si="19"/>
        <v>1.595842</v>
      </c>
      <c r="F604" s="1">
        <v>1595842</v>
      </c>
      <c r="G604" s="1">
        <v>1595842</v>
      </c>
      <c r="H604" s="1">
        <v>1595842</v>
      </c>
      <c r="M604" t="s">
        <v>1251</v>
      </c>
      <c r="N604" t="s">
        <v>1593</v>
      </c>
    </row>
    <row r="605" spans="1:14" x14ac:dyDescent="0.25">
      <c r="A605" t="s">
        <v>1252</v>
      </c>
      <c r="B605" t="str">
        <f t="shared" si="18"/>
        <v>p__Bacillota_I</v>
      </c>
      <c r="C605" s="1">
        <v>2</v>
      </c>
      <c r="D605" s="3">
        <v>1887786</v>
      </c>
      <c r="E605" s="3">
        <f t="shared" si="19"/>
        <v>1.887786</v>
      </c>
      <c r="F605" s="1">
        <v>31136</v>
      </c>
      <c r="G605" s="1">
        <v>943893</v>
      </c>
      <c r="H605" s="1">
        <v>1856650</v>
      </c>
      <c r="M605" t="s">
        <v>1252</v>
      </c>
      <c r="N605" t="s">
        <v>1593</v>
      </c>
    </row>
    <row r="606" spans="1:14" x14ac:dyDescent="0.25">
      <c r="A606" t="s">
        <v>1253</v>
      </c>
      <c r="B606" t="str">
        <f t="shared" si="18"/>
        <v>p__Bacillota_I</v>
      </c>
      <c r="C606" s="1">
        <v>32</v>
      </c>
      <c r="D606" s="3">
        <v>3155882</v>
      </c>
      <c r="E606" s="3">
        <f t="shared" si="19"/>
        <v>3.1558820000000001</v>
      </c>
      <c r="F606" s="1">
        <v>16183</v>
      </c>
      <c r="G606" s="2">
        <v>98621.3</v>
      </c>
      <c r="H606" s="1">
        <v>303116</v>
      </c>
      <c r="M606" t="s">
        <v>1253</v>
      </c>
      <c r="N606" t="s">
        <v>1593</v>
      </c>
    </row>
    <row r="607" spans="1:14" x14ac:dyDescent="0.25">
      <c r="A607" t="s">
        <v>1254</v>
      </c>
      <c r="B607" t="str">
        <f t="shared" si="18"/>
        <v>p__Bacillota_I</v>
      </c>
      <c r="C607" s="1">
        <v>1</v>
      </c>
      <c r="D607" s="3">
        <v>3924705</v>
      </c>
      <c r="E607" s="3">
        <f t="shared" si="19"/>
        <v>3.9247049999999999</v>
      </c>
      <c r="F607" s="1">
        <v>3924705</v>
      </c>
      <c r="G607" s="1">
        <v>3924705</v>
      </c>
      <c r="H607" s="1">
        <v>3924705</v>
      </c>
      <c r="M607" t="s">
        <v>1254</v>
      </c>
      <c r="N607" t="s">
        <v>1593</v>
      </c>
    </row>
    <row r="608" spans="1:14" x14ac:dyDescent="0.25">
      <c r="A608" t="s">
        <v>1255</v>
      </c>
      <c r="B608" t="str">
        <f t="shared" si="18"/>
        <v>p__Bacillota_I</v>
      </c>
      <c r="C608" s="1">
        <v>15</v>
      </c>
      <c r="D608" s="3">
        <v>3763360</v>
      </c>
      <c r="E608" s="3">
        <f t="shared" si="19"/>
        <v>3.76336</v>
      </c>
      <c r="F608" s="1">
        <v>41523</v>
      </c>
      <c r="G608" s="2">
        <v>250890.7</v>
      </c>
      <c r="H608" s="1">
        <v>831514</v>
      </c>
      <c r="M608" t="s">
        <v>1255</v>
      </c>
      <c r="N608" t="s">
        <v>1593</v>
      </c>
    </row>
    <row r="609" spans="1:14" x14ac:dyDescent="0.25">
      <c r="A609" t="s">
        <v>1256</v>
      </c>
      <c r="B609" t="str">
        <f t="shared" si="18"/>
        <v>p__Bacillota_I</v>
      </c>
      <c r="C609" s="1">
        <v>12</v>
      </c>
      <c r="D609" s="3">
        <v>1914460</v>
      </c>
      <c r="E609" s="3">
        <f t="shared" si="19"/>
        <v>1.9144600000000001</v>
      </c>
      <c r="F609" s="1">
        <v>20330</v>
      </c>
      <c r="G609" s="2">
        <v>159538.29999999999</v>
      </c>
      <c r="H609" s="1">
        <v>567425</v>
      </c>
      <c r="M609" t="s">
        <v>1256</v>
      </c>
      <c r="N609" t="s">
        <v>1593</v>
      </c>
    </row>
    <row r="610" spans="1:14" x14ac:dyDescent="0.25">
      <c r="A610" t="s">
        <v>1257</v>
      </c>
      <c r="B610" t="str">
        <f t="shared" si="18"/>
        <v>p__Bacillota_I</v>
      </c>
      <c r="C610" s="1">
        <v>12</v>
      </c>
      <c r="D610" s="3">
        <v>2106885</v>
      </c>
      <c r="E610" s="3">
        <f t="shared" si="19"/>
        <v>2.1068850000000001</v>
      </c>
      <c r="F610" s="1">
        <v>17100</v>
      </c>
      <c r="G610" s="2">
        <v>175573.8</v>
      </c>
      <c r="H610" s="1">
        <v>1067632</v>
      </c>
      <c r="M610" t="s">
        <v>1257</v>
      </c>
      <c r="N610" t="s">
        <v>1593</v>
      </c>
    </row>
    <row r="611" spans="1:14" x14ac:dyDescent="0.25">
      <c r="A611" t="s">
        <v>1258</v>
      </c>
      <c r="B611" t="str">
        <f t="shared" si="18"/>
        <v>p__Bacillota_I</v>
      </c>
      <c r="C611" s="1">
        <v>26</v>
      </c>
      <c r="D611" s="3">
        <v>2432225</v>
      </c>
      <c r="E611" s="3">
        <f t="shared" si="19"/>
        <v>2.4322249999999999</v>
      </c>
      <c r="F611" s="1">
        <v>11002</v>
      </c>
      <c r="G611" s="2">
        <v>93547.1</v>
      </c>
      <c r="H611" s="1">
        <v>531290</v>
      </c>
      <c r="M611" t="s">
        <v>1258</v>
      </c>
      <c r="N611" t="s">
        <v>1593</v>
      </c>
    </row>
    <row r="612" spans="1:14" x14ac:dyDescent="0.25">
      <c r="A612" t="s">
        <v>1259</v>
      </c>
      <c r="B612" t="str">
        <f t="shared" si="18"/>
        <v>p__Bacillota_I</v>
      </c>
      <c r="C612" s="1">
        <v>18</v>
      </c>
      <c r="D612" s="3">
        <v>3989628</v>
      </c>
      <c r="E612" s="3">
        <f t="shared" si="19"/>
        <v>3.9896280000000002</v>
      </c>
      <c r="F612" s="1">
        <v>2048</v>
      </c>
      <c r="G612" s="1">
        <v>221646</v>
      </c>
      <c r="H612" s="1">
        <v>1742870</v>
      </c>
      <c r="M612" t="s">
        <v>1259</v>
      </c>
      <c r="N612" t="s">
        <v>1593</v>
      </c>
    </row>
    <row r="613" spans="1:14" x14ac:dyDescent="0.25">
      <c r="A613" t="s">
        <v>1260</v>
      </c>
      <c r="B613" t="str">
        <f t="shared" si="18"/>
        <v>p__Bacillota_I</v>
      </c>
      <c r="C613" s="1">
        <v>12</v>
      </c>
      <c r="D613" s="3">
        <v>2435157</v>
      </c>
      <c r="E613" s="3">
        <f t="shared" si="19"/>
        <v>2.4351569999999998</v>
      </c>
      <c r="F613" s="1">
        <v>9433</v>
      </c>
      <c r="G613" s="2">
        <v>202929.8</v>
      </c>
      <c r="H613" s="1">
        <v>958736</v>
      </c>
      <c r="M613" t="s">
        <v>1260</v>
      </c>
      <c r="N613" t="s">
        <v>1593</v>
      </c>
    </row>
    <row r="614" spans="1:14" x14ac:dyDescent="0.25">
      <c r="A614" t="s">
        <v>1261</v>
      </c>
      <c r="B614" t="str">
        <f t="shared" si="18"/>
        <v>p__Bacillota_I</v>
      </c>
      <c r="C614" s="1">
        <v>27</v>
      </c>
      <c r="D614" s="3">
        <v>2396361</v>
      </c>
      <c r="E614" s="3">
        <f t="shared" si="19"/>
        <v>2.3963610000000002</v>
      </c>
      <c r="F614" s="1">
        <v>2054</v>
      </c>
      <c r="G614" s="2">
        <v>88754.1</v>
      </c>
      <c r="H614" s="1">
        <v>692114</v>
      </c>
      <c r="M614" t="s">
        <v>1261</v>
      </c>
      <c r="N614" t="s">
        <v>1593</v>
      </c>
    </row>
    <row r="615" spans="1:14" x14ac:dyDescent="0.25">
      <c r="A615" t="s">
        <v>1262</v>
      </c>
      <c r="B615" t="str">
        <f t="shared" si="18"/>
        <v>p__Bacillota_I</v>
      </c>
      <c r="C615" s="1">
        <v>67</v>
      </c>
      <c r="D615" s="3">
        <v>1156029</v>
      </c>
      <c r="E615" s="3">
        <f t="shared" si="19"/>
        <v>1.156029</v>
      </c>
      <c r="F615" s="1">
        <v>2026</v>
      </c>
      <c r="G615" s="2">
        <v>17254.2</v>
      </c>
      <c r="H615" s="1">
        <v>265408</v>
      </c>
      <c r="M615" t="s">
        <v>1262</v>
      </c>
      <c r="N615" t="s">
        <v>1593</v>
      </c>
    </row>
    <row r="616" spans="1:14" x14ac:dyDescent="0.25">
      <c r="A616" t="s">
        <v>1263</v>
      </c>
      <c r="B616" t="str">
        <f t="shared" si="18"/>
        <v>p__Bacillota_I</v>
      </c>
      <c r="C616" s="1">
        <v>2</v>
      </c>
      <c r="D616" s="3">
        <v>2086966</v>
      </c>
      <c r="E616" s="3">
        <f t="shared" si="19"/>
        <v>2.0869659999999999</v>
      </c>
      <c r="F616" s="1">
        <v>505743</v>
      </c>
      <c r="G616" s="1">
        <v>1043483</v>
      </c>
      <c r="H616" s="1">
        <v>1581223</v>
      </c>
      <c r="M616" t="s">
        <v>1263</v>
      </c>
      <c r="N616" t="s">
        <v>1593</v>
      </c>
    </row>
    <row r="617" spans="1:14" x14ac:dyDescent="0.25">
      <c r="A617" t="s">
        <v>1264</v>
      </c>
      <c r="B617" t="str">
        <f t="shared" si="18"/>
        <v>p__Bacillota_I</v>
      </c>
      <c r="C617" s="1">
        <v>4</v>
      </c>
      <c r="D617" s="3">
        <v>704266</v>
      </c>
      <c r="E617" s="3">
        <f t="shared" si="19"/>
        <v>0.70426599999999995</v>
      </c>
      <c r="F617" s="1">
        <v>4210</v>
      </c>
      <c r="G617" s="2">
        <v>176066.5</v>
      </c>
      <c r="H617" s="1">
        <v>358810</v>
      </c>
      <c r="M617" t="s">
        <v>1264</v>
      </c>
      <c r="N617" t="s">
        <v>1593</v>
      </c>
    </row>
    <row r="618" spans="1:14" x14ac:dyDescent="0.25">
      <c r="A618" t="s">
        <v>1265</v>
      </c>
      <c r="B618" t="str">
        <f t="shared" si="18"/>
        <v>p__Bacillota_I</v>
      </c>
      <c r="C618" s="1">
        <v>4</v>
      </c>
      <c r="D618" s="3">
        <v>881300</v>
      </c>
      <c r="E618" s="3">
        <f t="shared" si="19"/>
        <v>0.88129999999999997</v>
      </c>
      <c r="F618" s="1">
        <v>3065</v>
      </c>
      <c r="G618" s="1">
        <v>220325</v>
      </c>
      <c r="H618" s="1">
        <v>865965</v>
      </c>
      <c r="M618" t="s">
        <v>1265</v>
      </c>
      <c r="N618" t="s">
        <v>1593</v>
      </c>
    </row>
    <row r="619" spans="1:14" x14ac:dyDescent="0.25">
      <c r="A619" t="s">
        <v>1266</v>
      </c>
      <c r="B619" t="str">
        <f t="shared" si="18"/>
        <v>p__Bacillota_I</v>
      </c>
      <c r="C619" s="1">
        <v>1</v>
      </c>
      <c r="D619" s="3">
        <v>1199440</v>
      </c>
      <c r="E619" s="3">
        <f t="shared" si="19"/>
        <v>1.1994400000000001</v>
      </c>
      <c r="F619" s="1">
        <v>1199440</v>
      </c>
      <c r="G619" s="1">
        <v>1199440</v>
      </c>
      <c r="H619" s="1">
        <v>1199440</v>
      </c>
      <c r="M619" t="s">
        <v>1266</v>
      </c>
      <c r="N619" t="s">
        <v>1593</v>
      </c>
    </row>
    <row r="620" spans="1:14" x14ac:dyDescent="0.25">
      <c r="A620" t="s">
        <v>1267</v>
      </c>
      <c r="B620" t="str">
        <f t="shared" si="18"/>
        <v>p__Bacillota_I</v>
      </c>
      <c r="C620" s="1">
        <v>1</v>
      </c>
      <c r="D620" s="3">
        <v>1454841</v>
      </c>
      <c r="E620" s="3">
        <f t="shared" si="19"/>
        <v>1.4548410000000001</v>
      </c>
      <c r="F620" s="1">
        <v>1454841</v>
      </c>
      <c r="G620" s="1">
        <v>1454841</v>
      </c>
      <c r="H620" s="1">
        <v>1454841</v>
      </c>
      <c r="M620" t="s">
        <v>1267</v>
      </c>
      <c r="N620" t="s">
        <v>1593</v>
      </c>
    </row>
    <row r="621" spans="1:14" x14ac:dyDescent="0.25">
      <c r="A621" t="s">
        <v>1268</v>
      </c>
      <c r="B621" t="str">
        <f t="shared" si="18"/>
        <v>p__Bacillota_I</v>
      </c>
      <c r="C621" s="1">
        <v>10</v>
      </c>
      <c r="D621" s="3">
        <v>870689</v>
      </c>
      <c r="E621" s="3">
        <f t="shared" si="19"/>
        <v>0.87068900000000005</v>
      </c>
      <c r="F621" s="1">
        <v>43635</v>
      </c>
      <c r="G621" s="2">
        <v>87068.9</v>
      </c>
      <c r="H621" s="1">
        <v>159886</v>
      </c>
      <c r="M621" t="s">
        <v>1268</v>
      </c>
      <c r="N621" t="s">
        <v>1593</v>
      </c>
    </row>
    <row r="622" spans="1:14" x14ac:dyDescent="0.25">
      <c r="A622" t="s">
        <v>1269</v>
      </c>
      <c r="B622" t="str">
        <f t="shared" si="18"/>
        <v>p__Bacillota_I</v>
      </c>
      <c r="C622" s="1">
        <v>10</v>
      </c>
      <c r="D622" s="3">
        <v>847798</v>
      </c>
      <c r="E622" s="3">
        <f t="shared" si="19"/>
        <v>0.84779800000000005</v>
      </c>
      <c r="F622" s="1">
        <v>4704</v>
      </c>
      <c r="G622" s="2">
        <v>84779.8</v>
      </c>
      <c r="H622" s="1">
        <v>200838</v>
      </c>
      <c r="M622" t="s">
        <v>1269</v>
      </c>
      <c r="N622" t="s">
        <v>1593</v>
      </c>
    </row>
    <row r="623" spans="1:14" x14ac:dyDescent="0.25">
      <c r="A623" t="s">
        <v>1270</v>
      </c>
      <c r="B623" t="str">
        <f t="shared" si="18"/>
        <v>p__Bacillota_I</v>
      </c>
      <c r="C623" s="1">
        <v>14</v>
      </c>
      <c r="D623" s="3">
        <v>1534711</v>
      </c>
      <c r="E623" s="3">
        <f t="shared" si="19"/>
        <v>1.5347109999999999</v>
      </c>
      <c r="F623" s="1">
        <v>5570</v>
      </c>
      <c r="G623" s="2">
        <v>109622.2</v>
      </c>
      <c r="H623" s="1">
        <v>820423</v>
      </c>
      <c r="M623" t="s">
        <v>1270</v>
      </c>
      <c r="N623" t="s">
        <v>1593</v>
      </c>
    </row>
    <row r="624" spans="1:14" x14ac:dyDescent="0.25">
      <c r="A624" t="s">
        <v>1271</v>
      </c>
      <c r="B624" t="str">
        <f t="shared" si="18"/>
        <v>p__Bacillota_I</v>
      </c>
      <c r="C624" s="1">
        <v>3</v>
      </c>
      <c r="D624" s="3">
        <v>1068193</v>
      </c>
      <c r="E624" s="3">
        <f t="shared" si="19"/>
        <v>1.0681929999999999</v>
      </c>
      <c r="F624" s="1">
        <v>12151</v>
      </c>
      <c r="G624" s="2">
        <v>356064.3</v>
      </c>
      <c r="H624" s="1">
        <v>605935</v>
      </c>
      <c r="M624" t="s">
        <v>1271</v>
      </c>
      <c r="N624" t="s">
        <v>1593</v>
      </c>
    </row>
    <row r="625" spans="1:14" x14ac:dyDescent="0.25">
      <c r="A625" t="s">
        <v>53</v>
      </c>
      <c r="B625" t="str">
        <f t="shared" si="18"/>
        <v>p__Bacteroidota</v>
      </c>
      <c r="C625" s="1">
        <v>5</v>
      </c>
      <c r="D625" s="3">
        <v>3068621</v>
      </c>
      <c r="E625" s="3">
        <f t="shared" si="19"/>
        <v>3.0686209999999998</v>
      </c>
      <c r="F625" s="1">
        <v>6875</v>
      </c>
      <c r="G625" s="2">
        <v>613724.19999999995</v>
      </c>
      <c r="H625" s="1">
        <v>1601184</v>
      </c>
      <c r="M625" t="s">
        <v>53</v>
      </c>
      <c r="N625" t="s">
        <v>1594</v>
      </c>
    </row>
    <row r="626" spans="1:14" x14ac:dyDescent="0.25">
      <c r="A626" t="s">
        <v>54</v>
      </c>
      <c r="B626" t="str">
        <f t="shared" si="18"/>
        <v>p__Bacteroidota</v>
      </c>
      <c r="C626" s="1">
        <v>4</v>
      </c>
      <c r="D626" s="3">
        <v>3267887</v>
      </c>
      <c r="E626" s="3">
        <f t="shared" si="19"/>
        <v>3.267887</v>
      </c>
      <c r="F626" s="1">
        <v>69982</v>
      </c>
      <c r="G626" s="2">
        <v>816971.8</v>
      </c>
      <c r="H626" s="1">
        <v>1700296</v>
      </c>
      <c r="M626" t="s">
        <v>54</v>
      </c>
      <c r="N626" t="s">
        <v>1594</v>
      </c>
    </row>
    <row r="627" spans="1:14" x14ac:dyDescent="0.25">
      <c r="A627" t="s">
        <v>55</v>
      </c>
      <c r="B627" t="str">
        <f t="shared" si="18"/>
        <v>p__Bacteroidota</v>
      </c>
      <c r="C627" s="1">
        <v>261</v>
      </c>
      <c r="D627" s="3">
        <v>3458741</v>
      </c>
      <c r="E627" s="3">
        <f t="shared" si="19"/>
        <v>3.4587409999999998</v>
      </c>
      <c r="F627" s="2">
        <v>2015</v>
      </c>
      <c r="G627" s="1">
        <v>13251.9</v>
      </c>
      <c r="H627" s="1">
        <v>255131</v>
      </c>
      <c r="M627" t="s">
        <v>55</v>
      </c>
      <c r="N627" t="s">
        <v>1594</v>
      </c>
    </row>
    <row r="628" spans="1:14" x14ac:dyDescent="0.25">
      <c r="A628" t="s">
        <v>56</v>
      </c>
      <c r="B628" t="str">
        <f t="shared" si="18"/>
        <v>p__Bacteroidota</v>
      </c>
      <c r="C628" s="1">
        <v>11</v>
      </c>
      <c r="D628" s="3">
        <v>6471771</v>
      </c>
      <c r="E628" s="3">
        <f t="shared" si="19"/>
        <v>6.4717710000000004</v>
      </c>
      <c r="F628" s="1">
        <v>80360</v>
      </c>
      <c r="G628" s="2">
        <v>588342.80000000005</v>
      </c>
      <c r="H628" s="1">
        <v>2156022</v>
      </c>
      <c r="M628" t="s">
        <v>56</v>
      </c>
      <c r="N628" t="s">
        <v>1594</v>
      </c>
    </row>
    <row r="629" spans="1:14" x14ac:dyDescent="0.25">
      <c r="A629" t="s">
        <v>57</v>
      </c>
      <c r="B629" t="str">
        <f t="shared" si="18"/>
        <v>p__Bacteroidota</v>
      </c>
      <c r="C629" s="1">
        <v>33</v>
      </c>
      <c r="D629" s="3">
        <v>4559809</v>
      </c>
      <c r="E629" s="3">
        <f t="shared" si="19"/>
        <v>4.5598089999999996</v>
      </c>
      <c r="F629" s="1">
        <v>3889</v>
      </c>
      <c r="G629" s="1">
        <v>138176</v>
      </c>
      <c r="H629" s="1">
        <v>635114</v>
      </c>
      <c r="M629" t="s">
        <v>57</v>
      </c>
      <c r="N629" t="s">
        <v>1594</v>
      </c>
    </row>
    <row r="630" spans="1:14" x14ac:dyDescent="0.25">
      <c r="A630" t="s">
        <v>58</v>
      </c>
      <c r="B630" t="str">
        <f t="shared" si="18"/>
        <v>p__Bacteroidota</v>
      </c>
      <c r="C630" s="1">
        <v>7</v>
      </c>
      <c r="D630" s="3">
        <v>3168549</v>
      </c>
      <c r="E630" s="3">
        <f t="shared" si="19"/>
        <v>3.1685490000000001</v>
      </c>
      <c r="F630" s="1">
        <v>16021</v>
      </c>
      <c r="G630" s="2">
        <v>452649.9</v>
      </c>
      <c r="H630" s="1">
        <v>1195956</v>
      </c>
      <c r="M630" t="s">
        <v>58</v>
      </c>
      <c r="N630" t="s">
        <v>1594</v>
      </c>
    </row>
    <row r="631" spans="1:14" x14ac:dyDescent="0.25">
      <c r="A631" t="s">
        <v>59</v>
      </c>
      <c r="B631" t="str">
        <f t="shared" si="18"/>
        <v>p__Bacteroidota</v>
      </c>
      <c r="C631" s="1">
        <v>2</v>
      </c>
      <c r="D631" s="3">
        <v>4083450</v>
      </c>
      <c r="E631" s="3">
        <f t="shared" si="19"/>
        <v>4.08345</v>
      </c>
      <c r="F631" s="1">
        <v>14080</v>
      </c>
      <c r="G631" s="1">
        <v>2041725</v>
      </c>
      <c r="H631" s="1">
        <v>4069370</v>
      </c>
      <c r="M631" t="s">
        <v>59</v>
      </c>
      <c r="N631" t="s">
        <v>1594</v>
      </c>
    </row>
    <row r="632" spans="1:14" x14ac:dyDescent="0.25">
      <c r="A632" t="s">
        <v>60</v>
      </c>
      <c r="B632" t="str">
        <f t="shared" si="18"/>
        <v>p__Bacteroidota</v>
      </c>
      <c r="C632" s="1">
        <v>7</v>
      </c>
      <c r="D632" s="3">
        <v>5160836</v>
      </c>
      <c r="E632" s="3">
        <f t="shared" si="19"/>
        <v>5.1608359999999998</v>
      </c>
      <c r="F632" s="1">
        <v>2098</v>
      </c>
      <c r="G632" s="2">
        <v>737262.3</v>
      </c>
      <c r="H632" s="1">
        <v>2067310</v>
      </c>
      <c r="M632" t="s">
        <v>60</v>
      </c>
      <c r="N632" t="s">
        <v>1594</v>
      </c>
    </row>
    <row r="633" spans="1:14" x14ac:dyDescent="0.25">
      <c r="A633" t="s">
        <v>61</v>
      </c>
      <c r="B633" t="str">
        <f t="shared" si="18"/>
        <v>p__Bacteroidota</v>
      </c>
      <c r="C633" s="1">
        <v>7</v>
      </c>
      <c r="D633" s="3">
        <v>3049810</v>
      </c>
      <c r="E633" s="3">
        <f t="shared" si="19"/>
        <v>3.0498099999999999</v>
      </c>
      <c r="F633" s="1">
        <v>3518</v>
      </c>
      <c r="G633" s="2">
        <v>435687.1</v>
      </c>
      <c r="H633" s="1">
        <v>998195</v>
      </c>
      <c r="M633" t="s">
        <v>61</v>
      </c>
      <c r="N633" t="s">
        <v>1594</v>
      </c>
    </row>
    <row r="634" spans="1:14" x14ac:dyDescent="0.25">
      <c r="A634" t="s">
        <v>62</v>
      </c>
      <c r="B634" t="str">
        <f t="shared" si="18"/>
        <v>p__Bacteroidota</v>
      </c>
      <c r="C634" s="1">
        <v>37</v>
      </c>
      <c r="D634" s="3">
        <v>4466780</v>
      </c>
      <c r="E634" s="3">
        <f t="shared" si="19"/>
        <v>4.46678</v>
      </c>
      <c r="F634" s="1">
        <v>2360</v>
      </c>
      <c r="G634" s="2">
        <v>120723.8</v>
      </c>
      <c r="H634" s="1">
        <v>641275</v>
      </c>
      <c r="M634" t="s">
        <v>62</v>
      </c>
      <c r="N634" t="s">
        <v>1594</v>
      </c>
    </row>
    <row r="635" spans="1:14" x14ac:dyDescent="0.25">
      <c r="A635" t="s">
        <v>63</v>
      </c>
      <c r="B635" t="str">
        <f t="shared" si="18"/>
        <v>p__Bacteroidota</v>
      </c>
      <c r="C635" s="1">
        <v>22</v>
      </c>
      <c r="D635" s="3">
        <v>5145426</v>
      </c>
      <c r="E635" s="3">
        <f t="shared" si="19"/>
        <v>5.1454259999999996</v>
      </c>
      <c r="F635" s="1">
        <v>8040</v>
      </c>
      <c r="G635" s="1">
        <v>233883</v>
      </c>
      <c r="H635" s="1">
        <v>716879</v>
      </c>
      <c r="M635" t="s">
        <v>63</v>
      </c>
      <c r="N635" t="s">
        <v>1594</v>
      </c>
    </row>
    <row r="636" spans="1:14" x14ac:dyDescent="0.25">
      <c r="A636" t="s">
        <v>64</v>
      </c>
      <c r="B636" t="str">
        <f t="shared" si="18"/>
        <v>p__Bacteroidota</v>
      </c>
      <c r="C636" s="1">
        <v>23</v>
      </c>
      <c r="D636" s="3">
        <v>5121233</v>
      </c>
      <c r="E636" s="3">
        <f t="shared" si="19"/>
        <v>5.1212330000000001</v>
      </c>
      <c r="F636" s="1">
        <v>4711</v>
      </c>
      <c r="G636" s="2">
        <v>222662.3</v>
      </c>
      <c r="H636" s="1">
        <v>1001521</v>
      </c>
      <c r="M636" t="s">
        <v>64</v>
      </c>
      <c r="N636" t="s">
        <v>1594</v>
      </c>
    </row>
    <row r="637" spans="1:14" x14ac:dyDescent="0.25">
      <c r="A637" t="s">
        <v>65</v>
      </c>
      <c r="B637" t="str">
        <f t="shared" si="18"/>
        <v>p__Bacteroidota</v>
      </c>
      <c r="C637" s="1">
        <v>6</v>
      </c>
      <c r="D637" s="3">
        <v>4937129</v>
      </c>
      <c r="E637" s="3">
        <f t="shared" si="19"/>
        <v>4.9371289999999997</v>
      </c>
      <c r="F637" s="1">
        <v>253767</v>
      </c>
      <c r="G637" s="2">
        <v>822854.8</v>
      </c>
      <c r="H637" s="1">
        <v>1590456</v>
      </c>
      <c r="M637" t="s">
        <v>65</v>
      </c>
      <c r="N637" t="s">
        <v>1594</v>
      </c>
    </row>
    <row r="638" spans="1:14" x14ac:dyDescent="0.25">
      <c r="A638" t="s">
        <v>66</v>
      </c>
      <c r="B638" t="str">
        <f t="shared" si="18"/>
        <v>p__Bacteroidota</v>
      </c>
      <c r="C638" s="1">
        <v>19</v>
      </c>
      <c r="D638" s="3">
        <v>5461026</v>
      </c>
      <c r="E638" s="3">
        <f t="shared" si="19"/>
        <v>5.4610260000000004</v>
      </c>
      <c r="F638" s="1">
        <v>12035</v>
      </c>
      <c r="G638" s="2">
        <v>287422.40000000002</v>
      </c>
      <c r="H638" s="1">
        <v>991720</v>
      </c>
      <c r="M638" t="s">
        <v>66</v>
      </c>
      <c r="N638" t="s">
        <v>1594</v>
      </c>
    </row>
    <row r="639" spans="1:14" x14ac:dyDescent="0.25">
      <c r="A639" t="s">
        <v>67</v>
      </c>
      <c r="B639" t="str">
        <f t="shared" si="18"/>
        <v>p__Bacteroidota</v>
      </c>
      <c r="C639" s="1">
        <v>5</v>
      </c>
      <c r="D639" s="3">
        <v>6059056</v>
      </c>
      <c r="E639" s="3">
        <f t="shared" si="19"/>
        <v>6.059056</v>
      </c>
      <c r="F639" s="1">
        <v>175421</v>
      </c>
      <c r="G639" s="2">
        <v>1211811.2</v>
      </c>
      <c r="H639" s="1">
        <v>2051273</v>
      </c>
      <c r="M639" t="s">
        <v>67</v>
      </c>
      <c r="N639" t="s">
        <v>1594</v>
      </c>
    </row>
    <row r="640" spans="1:14" x14ac:dyDescent="0.25">
      <c r="A640" t="s">
        <v>68</v>
      </c>
      <c r="B640" t="str">
        <f t="shared" si="18"/>
        <v>p__Bacteroidota</v>
      </c>
      <c r="C640" s="1">
        <v>2</v>
      </c>
      <c r="D640" s="3">
        <v>3505869</v>
      </c>
      <c r="E640" s="3">
        <f t="shared" si="19"/>
        <v>3.5058690000000001</v>
      </c>
      <c r="F640" s="1">
        <v>1618203</v>
      </c>
      <c r="G640" s="2">
        <v>1752934.5</v>
      </c>
      <c r="H640" s="1">
        <v>1887666</v>
      </c>
      <c r="M640" t="s">
        <v>68</v>
      </c>
      <c r="N640" t="s">
        <v>1594</v>
      </c>
    </row>
    <row r="641" spans="1:14" x14ac:dyDescent="0.25">
      <c r="A641" t="s">
        <v>69</v>
      </c>
      <c r="B641" t="str">
        <f t="shared" si="18"/>
        <v>p__Bacteroidota</v>
      </c>
      <c r="C641" s="1">
        <v>21</v>
      </c>
      <c r="D641" s="3">
        <v>5780638</v>
      </c>
      <c r="E641" s="3">
        <f t="shared" si="19"/>
        <v>5.7806379999999997</v>
      </c>
      <c r="F641" s="1">
        <v>13152</v>
      </c>
      <c r="G641" s="2">
        <v>275268.5</v>
      </c>
      <c r="H641" s="1">
        <v>1017211</v>
      </c>
      <c r="M641" t="s">
        <v>69</v>
      </c>
      <c r="N641" t="s">
        <v>1594</v>
      </c>
    </row>
    <row r="642" spans="1:14" x14ac:dyDescent="0.25">
      <c r="A642" t="s">
        <v>70</v>
      </c>
      <c r="B642" t="str">
        <f t="shared" ref="B642:B705" si="20">VLOOKUP(A642,M:N,2,FALSE)</f>
        <v>p__Bacteroidota</v>
      </c>
      <c r="C642" s="1">
        <v>37</v>
      </c>
      <c r="D642" s="3">
        <v>4603967</v>
      </c>
      <c r="E642" s="3">
        <f t="shared" ref="E642:E705" si="21">D642/1000000</f>
        <v>4.6039669999999999</v>
      </c>
      <c r="F642" s="1">
        <v>4111</v>
      </c>
      <c r="G642" s="2">
        <v>124431.5</v>
      </c>
      <c r="H642" s="1">
        <v>524483</v>
      </c>
      <c r="M642" t="s">
        <v>70</v>
      </c>
      <c r="N642" t="s">
        <v>1594</v>
      </c>
    </row>
    <row r="643" spans="1:14" x14ac:dyDescent="0.25">
      <c r="A643" t="s">
        <v>71</v>
      </c>
      <c r="B643" t="str">
        <f t="shared" si="20"/>
        <v>p__Bacteroidota</v>
      </c>
      <c r="C643" s="1">
        <v>8</v>
      </c>
      <c r="D643" s="3">
        <v>3710407</v>
      </c>
      <c r="E643" s="3">
        <f t="shared" si="21"/>
        <v>3.710407</v>
      </c>
      <c r="F643" s="1">
        <v>81433</v>
      </c>
      <c r="G643" s="2">
        <v>463800.9</v>
      </c>
      <c r="H643" s="1">
        <v>1244941</v>
      </c>
      <c r="M643" t="s">
        <v>71</v>
      </c>
      <c r="N643" t="s">
        <v>1594</v>
      </c>
    </row>
    <row r="644" spans="1:14" x14ac:dyDescent="0.25">
      <c r="A644" t="s">
        <v>72</v>
      </c>
      <c r="B644" t="str">
        <f t="shared" si="20"/>
        <v>p__Bacteroidota</v>
      </c>
      <c r="C644" s="1">
        <v>13</v>
      </c>
      <c r="D644" s="3">
        <v>4987797</v>
      </c>
      <c r="E644" s="3">
        <f t="shared" si="21"/>
        <v>4.9877969999999996</v>
      </c>
      <c r="F644" s="1">
        <v>9814</v>
      </c>
      <c r="G644" s="2">
        <v>383676.7</v>
      </c>
      <c r="H644" s="1">
        <v>1103183</v>
      </c>
      <c r="M644" t="s">
        <v>72</v>
      </c>
      <c r="N644" t="s">
        <v>1594</v>
      </c>
    </row>
    <row r="645" spans="1:14" x14ac:dyDescent="0.25">
      <c r="A645" t="s">
        <v>73</v>
      </c>
      <c r="B645" t="str">
        <f t="shared" si="20"/>
        <v>p__Bacteroidota</v>
      </c>
      <c r="C645" s="1">
        <v>9</v>
      </c>
      <c r="D645" s="3">
        <v>4128435</v>
      </c>
      <c r="E645" s="3">
        <f t="shared" si="21"/>
        <v>4.1284349999999996</v>
      </c>
      <c r="F645" s="1">
        <v>2089</v>
      </c>
      <c r="G645" s="1">
        <v>458715</v>
      </c>
      <c r="H645" s="1">
        <v>1782838</v>
      </c>
      <c r="M645" t="s">
        <v>73</v>
      </c>
      <c r="N645" t="s">
        <v>1594</v>
      </c>
    </row>
    <row r="646" spans="1:14" x14ac:dyDescent="0.25">
      <c r="A646" t="s">
        <v>74</v>
      </c>
      <c r="B646" t="str">
        <f t="shared" si="20"/>
        <v>p__Bacteroidota</v>
      </c>
      <c r="C646" s="1">
        <v>6</v>
      </c>
      <c r="D646" s="3">
        <v>3175064</v>
      </c>
      <c r="E646" s="3">
        <f t="shared" si="21"/>
        <v>3.1750639999999999</v>
      </c>
      <c r="F646" s="1">
        <v>43509</v>
      </c>
      <c r="G646" s="2">
        <v>529177.30000000005</v>
      </c>
      <c r="H646" s="1">
        <v>1953586</v>
      </c>
      <c r="M646" t="s">
        <v>74</v>
      </c>
      <c r="N646" t="s">
        <v>1594</v>
      </c>
    </row>
    <row r="647" spans="1:14" x14ac:dyDescent="0.25">
      <c r="A647" t="s">
        <v>75</v>
      </c>
      <c r="B647" t="str">
        <f t="shared" si="20"/>
        <v>p__Bacteroidota</v>
      </c>
      <c r="C647" s="1">
        <v>16</v>
      </c>
      <c r="D647" s="3">
        <v>3401429</v>
      </c>
      <c r="E647" s="3">
        <f t="shared" si="21"/>
        <v>3.4014289999999998</v>
      </c>
      <c r="F647" s="1">
        <v>5964</v>
      </c>
      <c r="G647" s="2">
        <v>212589.3</v>
      </c>
      <c r="H647" s="1">
        <v>571687</v>
      </c>
      <c r="M647" t="s">
        <v>75</v>
      </c>
      <c r="N647" t="s">
        <v>1594</v>
      </c>
    </row>
    <row r="648" spans="1:14" x14ac:dyDescent="0.25">
      <c r="A648" t="s">
        <v>76</v>
      </c>
      <c r="B648" t="str">
        <f t="shared" si="20"/>
        <v>p__Bacteroidota</v>
      </c>
      <c r="C648" s="1">
        <v>23</v>
      </c>
      <c r="D648" s="3">
        <v>3565266</v>
      </c>
      <c r="E648" s="3">
        <f t="shared" si="21"/>
        <v>3.5652659999999998</v>
      </c>
      <c r="F648" s="1">
        <v>5134</v>
      </c>
      <c r="G648" s="2">
        <v>155011.6</v>
      </c>
      <c r="H648" s="1">
        <v>729976</v>
      </c>
      <c r="M648" t="s">
        <v>76</v>
      </c>
      <c r="N648" t="s">
        <v>1594</v>
      </c>
    </row>
    <row r="649" spans="1:14" x14ac:dyDescent="0.25">
      <c r="A649" t="s">
        <v>77</v>
      </c>
      <c r="B649" t="str">
        <f t="shared" si="20"/>
        <v>p__Bacteroidota</v>
      </c>
      <c r="C649" s="1">
        <v>266</v>
      </c>
      <c r="D649" s="3">
        <v>2976547</v>
      </c>
      <c r="E649" s="3">
        <f t="shared" si="21"/>
        <v>2.9765470000000001</v>
      </c>
      <c r="F649" s="1">
        <v>2003</v>
      </c>
      <c r="G649" s="1">
        <v>11190</v>
      </c>
      <c r="H649" s="1">
        <v>204431</v>
      </c>
      <c r="M649" t="s">
        <v>77</v>
      </c>
      <c r="N649" t="s">
        <v>1594</v>
      </c>
    </row>
    <row r="650" spans="1:14" x14ac:dyDescent="0.25">
      <c r="A650" t="s">
        <v>78</v>
      </c>
      <c r="B650" t="str">
        <f t="shared" si="20"/>
        <v>p__Bacteroidota</v>
      </c>
      <c r="C650" s="1">
        <v>29</v>
      </c>
      <c r="D650" s="3">
        <v>4148799</v>
      </c>
      <c r="E650" s="3">
        <f t="shared" si="21"/>
        <v>4.1487990000000003</v>
      </c>
      <c r="F650" s="1">
        <v>2241</v>
      </c>
      <c r="G650" s="1">
        <v>143062</v>
      </c>
      <c r="H650" s="1">
        <v>599454</v>
      </c>
      <c r="M650" t="s">
        <v>78</v>
      </c>
      <c r="N650" t="s">
        <v>1594</v>
      </c>
    </row>
    <row r="651" spans="1:14" x14ac:dyDescent="0.25">
      <c r="A651" t="s">
        <v>79</v>
      </c>
      <c r="B651" t="str">
        <f t="shared" si="20"/>
        <v>p__Bacteroidota</v>
      </c>
      <c r="C651" s="1">
        <v>10</v>
      </c>
      <c r="D651" s="3">
        <v>4768760</v>
      </c>
      <c r="E651" s="3">
        <f t="shared" si="21"/>
        <v>4.7687600000000003</v>
      </c>
      <c r="F651" s="1">
        <v>83939</v>
      </c>
      <c r="G651" s="1">
        <v>476876</v>
      </c>
      <c r="H651" s="1">
        <v>1504092</v>
      </c>
      <c r="M651" t="s">
        <v>79</v>
      </c>
      <c r="N651" t="s">
        <v>1594</v>
      </c>
    </row>
    <row r="652" spans="1:14" x14ac:dyDescent="0.25">
      <c r="A652" t="s">
        <v>80</v>
      </c>
      <c r="B652" t="str">
        <f t="shared" si="20"/>
        <v>p__Bacteroidota</v>
      </c>
      <c r="C652" s="1">
        <v>13</v>
      </c>
      <c r="D652" s="3">
        <v>3989112</v>
      </c>
      <c r="E652" s="3">
        <f t="shared" si="21"/>
        <v>3.989112</v>
      </c>
      <c r="F652" s="1">
        <v>2013</v>
      </c>
      <c r="G652" s="2">
        <v>306854.8</v>
      </c>
      <c r="H652" s="1">
        <v>1036614</v>
      </c>
      <c r="M652" t="s">
        <v>80</v>
      </c>
      <c r="N652" t="s">
        <v>1594</v>
      </c>
    </row>
    <row r="653" spans="1:14" x14ac:dyDescent="0.25">
      <c r="A653" t="s">
        <v>81</v>
      </c>
      <c r="B653" t="str">
        <f t="shared" si="20"/>
        <v>p__Bacteroidota</v>
      </c>
      <c r="C653" s="1">
        <v>47</v>
      </c>
      <c r="D653" s="3">
        <v>4105647</v>
      </c>
      <c r="E653" s="3">
        <f t="shared" si="21"/>
        <v>4.1056470000000003</v>
      </c>
      <c r="F653" s="1">
        <v>2059</v>
      </c>
      <c r="G653" s="2">
        <v>87354.2</v>
      </c>
      <c r="H653" s="1">
        <v>385887</v>
      </c>
      <c r="M653" t="s">
        <v>81</v>
      </c>
      <c r="N653" t="s">
        <v>1594</v>
      </c>
    </row>
    <row r="654" spans="1:14" x14ac:dyDescent="0.25">
      <c r="A654" t="s">
        <v>82</v>
      </c>
      <c r="B654" t="str">
        <f t="shared" si="20"/>
        <v>p__Bacteroidota</v>
      </c>
      <c r="C654" s="1">
        <v>43</v>
      </c>
      <c r="D654" s="3">
        <v>3452345</v>
      </c>
      <c r="E654" s="3">
        <f t="shared" si="21"/>
        <v>3.4523450000000002</v>
      </c>
      <c r="F654" s="1">
        <v>2039</v>
      </c>
      <c r="G654" s="2">
        <v>80287.100000000006</v>
      </c>
      <c r="H654" s="1">
        <v>521308</v>
      </c>
      <c r="M654" t="s">
        <v>82</v>
      </c>
      <c r="N654" t="s">
        <v>1594</v>
      </c>
    </row>
    <row r="655" spans="1:14" x14ac:dyDescent="0.25">
      <c r="A655" t="s">
        <v>83</v>
      </c>
      <c r="B655" t="str">
        <f t="shared" si="20"/>
        <v>p__Bacteroidota</v>
      </c>
      <c r="C655" s="1">
        <v>14</v>
      </c>
      <c r="D655" s="3">
        <v>4548710</v>
      </c>
      <c r="E655" s="3">
        <f t="shared" si="21"/>
        <v>4.5487099999999998</v>
      </c>
      <c r="F655" s="1">
        <v>11494</v>
      </c>
      <c r="G655" s="2">
        <v>324907.90000000002</v>
      </c>
      <c r="H655" s="1">
        <v>929453</v>
      </c>
      <c r="M655" t="s">
        <v>83</v>
      </c>
      <c r="N655" t="s">
        <v>1594</v>
      </c>
    </row>
    <row r="656" spans="1:14" x14ac:dyDescent="0.25">
      <c r="A656" t="s">
        <v>84</v>
      </c>
      <c r="B656" t="str">
        <f t="shared" si="20"/>
        <v>p__Bacteroidota</v>
      </c>
      <c r="C656" s="1">
        <v>9</v>
      </c>
      <c r="D656" s="3">
        <v>4584806</v>
      </c>
      <c r="E656" s="3">
        <f t="shared" si="21"/>
        <v>4.5848060000000004</v>
      </c>
      <c r="F656" s="1">
        <v>6835</v>
      </c>
      <c r="G656" s="2">
        <v>509422.9</v>
      </c>
      <c r="H656" s="1">
        <v>1406621</v>
      </c>
      <c r="M656" t="s">
        <v>84</v>
      </c>
      <c r="N656" t="s">
        <v>1594</v>
      </c>
    </row>
    <row r="657" spans="1:14" x14ac:dyDescent="0.25">
      <c r="A657" t="s">
        <v>85</v>
      </c>
      <c r="B657" t="str">
        <f t="shared" si="20"/>
        <v>p__Bacteroidota</v>
      </c>
      <c r="C657" s="1">
        <v>34</v>
      </c>
      <c r="D657" s="3">
        <v>4653815</v>
      </c>
      <c r="E657" s="3">
        <f t="shared" si="21"/>
        <v>4.6538149999999998</v>
      </c>
      <c r="F657" s="1">
        <v>6684</v>
      </c>
      <c r="G657" s="2">
        <v>136876.9</v>
      </c>
      <c r="H657" s="1">
        <v>523027</v>
      </c>
      <c r="M657" t="s">
        <v>85</v>
      </c>
      <c r="N657" t="s">
        <v>1594</v>
      </c>
    </row>
    <row r="658" spans="1:14" x14ac:dyDescent="0.25">
      <c r="A658" t="s">
        <v>86</v>
      </c>
      <c r="B658" t="str">
        <f t="shared" si="20"/>
        <v>p__Bacteroidota</v>
      </c>
      <c r="C658" s="1">
        <v>9</v>
      </c>
      <c r="D658" s="3">
        <v>3003732</v>
      </c>
      <c r="E658" s="3">
        <f t="shared" si="21"/>
        <v>3.0037319999999998</v>
      </c>
      <c r="F658" s="1">
        <v>2622</v>
      </c>
      <c r="G658" s="1">
        <v>333748</v>
      </c>
      <c r="H658" s="1">
        <v>858203</v>
      </c>
      <c r="M658" t="s">
        <v>86</v>
      </c>
      <c r="N658" t="s">
        <v>1594</v>
      </c>
    </row>
    <row r="659" spans="1:14" x14ac:dyDescent="0.25">
      <c r="A659" t="s">
        <v>87</v>
      </c>
      <c r="B659" t="str">
        <f t="shared" si="20"/>
        <v>p__Bacteroidota</v>
      </c>
      <c r="C659" s="1">
        <v>11</v>
      </c>
      <c r="D659" s="3">
        <v>4006786</v>
      </c>
      <c r="E659" s="3">
        <f t="shared" si="21"/>
        <v>4.006786</v>
      </c>
      <c r="F659" s="1">
        <v>6089</v>
      </c>
      <c r="G659" s="2">
        <v>364253.3</v>
      </c>
      <c r="H659" s="1">
        <v>923526</v>
      </c>
      <c r="M659" t="s">
        <v>87</v>
      </c>
      <c r="N659" t="s">
        <v>1594</v>
      </c>
    </row>
    <row r="660" spans="1:14" x14ac:dyDescent="0.25">
      <c r="A660" t="s">
        <v>88</v>
      </c>
      <c r="B660" t="str">
        <f t="shared" si="20"/>
        <v>p__Bacteroidota</v>
      </c>
      <c r="C660" s="1">
        <v>13</v>
      </c>
      <c r="D660" s="3">
        <v>3431272</v>
      </c>
      <c r="E660" s="3">
        <f t="shared" si="21"/>
        <v>3.4312719999999999</v>
      </c>
      <c r="F660" s="1">
        <v>2174</v>
      </c>
      <c r="G660" s="1">
        <v>263944</v>
      </c>
      <c r="H660" s="1">
        <v>880437</v>
      </c>
      <c r="M660" t="s">
        <v>88</v>
      </c>
      <c r="N660" t="s">
        <v>1594</v>
      </c>
    </row>
    <row r="661" spans="1:14" x14ac:dyDescent="0.25">
      <c r="A661" t="s">
        <v>89</v>
      </c>
      <c r="B661" t="str">
        <f t="shared" si="20"/>
        <v>p__Bacteroidota</v>
      </c>
      <c r="C661" s="1">
        <v>20</v>
      </c>
      <c r="D661" s="3">
        <v>3876623</v>
      </c>
      <c r="E661" s="3">
        <f t="shared" si="21"/>
        <v>3.8766229999999999</v>
      </c>
      <c r="F661" s="1">
        <v>2376</v>
      </c>
      <c r="G661" s="2">
        <v>193831.1</v>
      </c>
      <c r="H661" s="1">
        <v>965879</v>
      </c>
      <c r="M661" t="s">
        <v>89</v>
      </c>
      <c r="N661" t="s">
        <v>1594</v>
      </c>
    </row>
    <row r="662" spans="1:14" x14ac:dyDescent="0.25">
      <c r="A662" t="s">
        <v>90</v>
      </c>
      <c r="B662" t="str">
        <f t="shared" si="20"/>
        <v>p__Bacteroidota</v>
      </c>
      <c r="C662" s="1">
        <v>12</v>
      </c>
      <c r="D662" s="3">
        <v>4688315</v>
      </c>
      <c r="E662" s="3">
        <f t="shared" si="21"/>
        <v>4.6883150000000002</v>
      </c>
      <c r="F662" s="1">
        <v>1038</v>
      </c>
      <c r="G662" s="2">
        <v>390692.9</v>
      </c>
      <c r="H662" s="1">
        <v>1370650</v>
      </c>
      <c r="M662" t="s">
        <v>90</v>
      </c>
      <c r="N662" t="s">
        <v>1594</v>
      </c>
    </row>
    <row r="663" spans="1:14" x14ac:dyDescent="0.25">
      <c r="A663" t="s">
        <v>91</v>
      </c>
      <c r="B663" t="str">
        <f t="shared" si="20"/>
        <v>p__Bacteroidota</v>
      </c>
      <c r="C663" s="1">
        <v>38</v>
      </c>
      <c r="D663" s="3">
        <v>5902080</v>
      </c>
      <c r="E663" s="3">
        <f t="shared" si="21"/>
        <v>5.9020799999999998</v>
      </c>
      <c r="F663" s="1">
        <v>2021</v>
      </c>
      <c r="G663" s="2">
        <v>155317.9</v>
      </c>
      <c r="H663" s="1">
        <v>969740</v>
      </c>
      <c r="M663" t="s">
        <v>91</v>
      </c>
      <c r="N663" t="s">
        <v>1594</v>
      </c>
    </row>
    <row r="664" spans="1:14" x14ac:dyDescent="0.25">
      <c r="A664" t="s">
        <v>92</v>
      </c>
      <c r="B664" t="str">
        <f t="shared" si="20"/>
        <v>p__Bacteroidota</v>
      </c>
      <c r="C664" s="1">
        <v>22</v>
      </c>
      <c r="D664" s="3">
        <v>3505593</v>
      </c>
      <c r="E664" s="3">
        <f t="shared" si="21"/>
        <v>3.5055930000000002</v>
      </c>
      <c r="F664" s="1">
        <v>2856</v>
      </c>
      <c r="G664" s="2">
        <v>159345.1</v>
      </c>
      <c r="H664" s="1">
        <v>544239</v>
      </c>
      <c r="M664" t="s">
        <v>92</v>
      </c>
      <c r="N664" t="s">
        <v>1594</v>
      </c>
    </row>
    <row r="665" spans="1:14" x14ac:dyDescent="0.25">
      <c r="A665" t="s">
        <v>93</v>
      </c>
      <c r="B665" t="str">
        <f t="shared" si="20"/>
        <v>p__Bacteroidota</v>
      </c>
      <c r="C665" s="1">
        <v>6</v>
      </c>
      <c r="D665" s="3">
        <v>4894533</v>
      </c>
      <c r="E665" s="3">
        <f t="shared" si="21"/>
        <v>4.894533</v>
      </c>
      <c r="F665" s="1">
        <v>62412</v>
      </c>
      <c r="G665" s="2">
        <v>815755.5</v>
      </c>
      <c r="H665" s="1">
        <v>1972965</v>
      </c>
      <c r="M665" t="s">
        <v>93</v>
      </c>
      <c r="N665" t="s">
        <v>1594</v>
      </c>
    </row>
    <row r="666" spans="1:14" x14ac:dyDescent="0.25">
      <c r="A666" t="s">
        <v>94</v>
      </c>
      <c r="B666" t="str">
        <f t="shared" si="20"/>
        <v>p__Bacteroidota</v>
      </c>
      <c r="C666" s="1">
        <v>107</v>
      </c>
      <c r="D666" s="3">
        <v>2746280</v>
      </c>
      <c r="E666" s="3">
        <f t="shared" si="21"/>
        <v>2.7462800000000001</v>
      </c>
      <c r="F666" s="2">
        <v>2008</v>
      </c>
      <c r="G666" s="1">
        <v>25666.2</v>
      </c>
      <c r="H666" s="1">
        <v>256058</v>
      </c>
      <c r="M666" t="s">
        <v>94</v>
      </c>
      <c r="N666" t="s">
        <v>1594</v>
      </c>
    </row>
    <row r="667" spans="1:14" x14ac:dyDescent="0.25">
      <c r="A667" t="s">
        <v>95</v>
      </c>
      <c r="B667" t="str">
        <f t="shared" si="20"/>
        <v>p__Bacteroidota</v>
      </c>
      <c r="C667" s="1">
        <v>4</v>
      </c>
      <c r="D667" s="3">
        <v>4053795</v>
      </c>
      <c r="E667" s="3">
        <f t="shared" si="21"/>
        <v>4.053795</v>
      </c>
      <c r="F667" s="1">
        <v>700590</v>
      </c>
      <c r="G667" s="2">
        <v>1013448.8</v>
      </c>
      <c r="H667" s="1">
        <v>1294518</v>
      </c>
      <c r="M667" t="s">
        <v>95</v>
      </c>
      <c r="N667" t="s">
        <v>1594</v>
      </c>
    </row>
    <row r="668" spans="1:14" x14ac:dyDescent="0.25">
      <c r="A668" t="s">
        <v>96</v>
      </c>
      <c r="B668" t="str">
        <f t="shared" si="20"/>
        <v>p__Bacteroidota</v>
      </c>
      <c r="C668" s="1">
        <v>15</v>
      </c>
      <c r="D668" s="3">
        <v>3592284</v>
      </c>
      <c r="E668" s="3">
        <f t="shared" si="21"/>
        <v>3.5922839999999998</v>
      </c>
      <c r="F668" s="1">
        <v>16379</v>
      </c>
      <c r="G668" s="2">
        <v>239485.6</v>
      </c>
      <c r="H668" s="1">
        <v>784189</v>
      </c>
      <c r="M668" t="s">
        <v>96</v>
      </c>
      <c r="N668" t="s">
        <v>1594</v>
      </c>
    </row>
    <row r="669" spans="1:14" x14ac:dyDescent="0.25">
      <c r="A669" t="s">
        <v>97</v>
      </c>
      <c r="B669" t="str">
        <f t="shared" si="20"/>
        <v>p__Bacteroidota</v>
      </c>
      <c r="C669" s="1">
        <v>2</v>
      </c>
      <c r="D669" s="3">
        <v>3113743</v>
      </c>
      <c r="E669" s="3">
        <f t="shared" si="21"/>
        <v>3.1137429999999999</v>
      </c>
      <c r="F669" s="1">
        <v>187704</v>
      </c>
      <c r="G669" s="2">
        <v>1556871.5</v>
      </c>
      <c r="H669" s="1">
        <v>2926039</v>
      </c>
      <c r="M669" t="s">
        <v>97</v>
      </c>
      <c r="N669" t="s">
        <v>1594</v>
      </c>
    </row>
    <row r="670" spans="1:14" x14ac:dyDescent="0.25">
      <c r="A670" t="s">
        <v>98</v>
      </c>
      <c r="B670" t="str">
        <f t="shared" si="20"/>
        <v>p__Bacteroidota</v>
      </c>
      <c r="C670" s="1">
        <v>90</v>
      </c>
      <c r="D670" s="3">
        <v>2331084</v>
      </c>
      <c r="E670" s="3">
        <f t="shared" si="21"/>
        <v>2.3310840000000002</v>
      </c>
      <c r="F670" s="1">
        <v>2003</v>
      </c>
      <c r="G670" s="2">
        <v>25900.9</v>
      </c>
      <c r="H670" s="1">
        <v>248529</v>
      </c>
      <c r="M670" t="s">
        <v>98</v>
      </c>
      <c r="N670" t="s">
        <v>1594</v>
      </c>
    </row>
    <row r="671" spans="1:14" x14ac:dyDescent="0.25">
      <c r="A671" t="s">
        <v>99</v>
      </c>
      <c r="B671" t="str">
        <f t="shared" si="20"/>
        <v>p__Bacteroidota</v>
      </c>
      <c r="C671" s="1">
        <v>37</v>
      </c>
      <c r="D671" s="3">
        <v>2964305</v>
      </c>
      <c r="E671" s="3">
        <f t="shared" si="21"/>
        <v>2.964305</v>
      </c>
      <c r="F671" s="1">
        <v>2215</v>
      </c>
      <c r="G671" s="2">
        <v>80116.399999999994</v>
      </c>
      <c r="H671" s="1">
        <v>451829</v>
      </c>
      <c r="M671" t="s">
        <v>99</v>
      </c>
      <c r="N671" t="s">
        <v>1594</v>
      </c>
    </row>
    <row r="672" spans="1:14" x14ac:dyDescent="0.25">
      <c r="A672" t="s">
        <v>100</v>
      </c>
      <c r="B672" t="str">
        <f t="shared" si="20"/>
        <v>p__Bacteroidota</v>
      </c>
      <c r="C672" s="1">
        <v>43</v>
      </c>
      <c r="D672" s="3">
        <v>3836539</v>
      </c>
      <c r="E672" s="3">
        <f t="shared" si="21"/>
        <v>3.8365390000000001</v>
      </c>
      <c r="F672" s="1">
        <v>5832</v>
      </c>
      <c r="G672" s="2">
        <v>89221.8</v>
      </c>
      <c r="H672" s="1">
        <v>336570</v>
      </c>
      <c r="M672" t="s">
        <v>100</v>
      </c>
      <c r="N672" t="s">
        <v>1594</v>
      </c>
    </row>
    <row r="673" spans="1:14" x14ac:dyDescent="0.25">
      <c r="A673" t="s">
        <v>101</v>
      </c>
      <c r="B673" t="str">
        <f t="shared" si="20"/>
        <v>p__Bacteroidota</v>
      </c>
      <c r="C673" s="1">
        <v>14</v>
      </c>
      <c r="D673" s="3">
        <v>3289527</v>
      </c>
      <c r="E673" s="3">
        <f t="shared" si="21"/>
        <v>3.2895270000000001</v>
      </c>
      <c r="F673" s="1">
        <v>2518</v>
      </c>
      <c r="G673" s="2">
        <v>234966.2</v>
      </c>
      <c r="H673" s="1">
        <v>803442</v>
      </c>
      <c r="M673" t="s">
        <v>101</v>
      </c>
      <c r="N673" t="s">
        <v>1594</v>
      </c>
    </row>
    <row r="674" spans="1:14" x14ac:dyDescent="0.25">
      <c r="A674" t="s">
        <v>102</v>
      </c>
      <c r="B674" t="str">
        <f t="shared" si="20"/>
        <v>p__Bacteroidota</v>
      </c>
      <c r="C674" s="1">
        <v>19</v>
      </c>
      <c r="D674" s="3">
        <v>4923467</v>
      </c>
      <c r="E674" s="3">
        <f t="shared" si="21"/>
        <v>4.9234669999999996</v>
      </c>
      <c r="F674" s="1">
        <v>8701</v>
      </c>
      <c r="G674" s="2">
        <v>259129.8</v>
      </c>
      <c r="H674" s="1">
        <v>858666</v>
      </c>
      <c r="M674" t="s">
        <v>102</v>
      </c>
      <c r="N674" t="s">
        <v>1594</v>
      </c>
    </row>
    <row r="675" spans="1:14" x14ac:dyDescent="0.25">
      <c r="A675" t="s">
        <v>103</v>
      </c>
      <c r="B675" t="str">
        <f t="shared" si="20"/>
        <v>p__Bacteroidota</v>
      </c>
      <c r="C675" s="1">
        <v>8</v>
      </c>
      <c r="D675" s="3">
        <v>2960466</v>
      </c>
      <c r="E675" s="3">
        <f t="shared" si="21"/>
        <v>2.9604659999999998</v>
      </c>
      <c r="F675" s="1">
        <v>21297</v>
      </c>
      <c r="G675" s="2">
        <v>370058.3</v>
      </c>
      <c r="H675" s="1">
        <v>848789</v>
      </c>
      <c r="M675" t="s">
        <v>103</v>
      </c>
      <c r="N675" t="s">
        <v>1594</v>
      </c>
    </row>
    <row r="676" spans="1:14" x14ac:dyDescent="0.25">
      <c r="A676" t="s">
        <v>104</v>
      </c>
      <c r="B676" t="str">
        <f t="shared" si="20"/>
        <v>p__Bacteroidota</v>
      </c>
      <c r="C676" s="1">
        <v>30</v>
      </c>
      <c r="D676" s="3">
        <v>2044408</v>
      </c>
      <c r="E676" s="3">
        <f t="shared" si="21"/>
        <v>2.0444079999999998</v>
      </c>
      <c r="F676" s="1">
        <v>10401</v>
      </c>
      <c r="G676" s="2">
        <v>68146.899999999994</v>
      </c>
      <c r="H676" s="1">
        <v>291997</v>
      </c>
      <c r="M676" t="s">
        <v>104</v>
      </c>
      <c r="N676" t="s">
        <v>1594</v>
      </c>
    </row>
    <row r="677" spans="1:14" x14ac:dyDescent="0.25">
      <c r="A677" t="s">
        <v>105</v>
      </c>
      <c r="B677" t="str">
        <f t="shared" si="20"/>
        <v>p__Bacteroidota</v>
      </c>
      <c r="C677" s="1">
        <v>11</v>
      </c>
      <c r="D677" s="3">
        <v>2242207</v>
      </c>
      <c r="E677" s="3">
        <f t="shared" si="21"/>
        <v>2.2422070000000001</v>
      </c>
      <c r="F677" s="1">
        <v>14561</v>
      </c>
      <c r="G677" s="1">
        <v>203837</v>
      </c>
      <c r="H677" s="1">
        <v>997037</v>
      </c>
      <c r="M677" t="s">
        <v>105</v>
      </c>
      <c r="N677" t="s">
        <v>1594</v>
      </c>
    </row>
    <row r="678" spans="1:14" x14ac:dyDescent="0.25">
      <c r="A678" t="s">
        <v>106</v>
      </c>
      <c r="B678" t="str">
        <f t="shared" si="20"/>
        <v>p__Bacteroidota</v>
      </c>
      <c r="C678" s="1">
        <v>18</v>
      </c>
      <c r="D678" s="3">
        <v>4290378</v>
      </c>
      <c r="E678" s="3">
        <f t="shared" si="21"/>
        <v>4.2903779999999996</v>
      </c>
      <c r="F678" s="1">
        <v>9710</v>
      </c>
      <c r="G678" s="2">
        <v>238354.3</v>
      </c>
      <c r="H678" s="1">
        <v>1293195</v>
      </c>
      <c r="M678" t="s">
        <v>106</v>
      </c>
      <c r="N678" t="s">
        <v>1594</v>
      </c>
    </row>
    <row r="679" spans="1:14" x14ac:dyDescent="0.25">
      <c r="A679" t="s">
        <v>107</v>
      </c>
      <c r="B679" t="str">
        <f t="shared" si="20"/>
        <v>p__Bacteroidota</v>
      </c>
      <c r="C679" s="1">
        <v>84</v>
      </c>
      <c r="D679" s="3">
        <v>2910191</v>
      </c>
      <c r="E679" s="3">
        <f t="shared" si="21"/>
        <v>2.9101910000000002</v>
      </c>
      <c r="F679" s="1">
        <v>2003</v>
      </c>
      <c r="G679" s="2">
        <v>34645.1</v>
      </c>
      <c r="H679" s="1">
        <v>355166</v>
      </c>
      <c r="M679" t="s">
        <v>107</v>
      </c>
      <c r="N679" t="s">
        <v>1594</v>
      </c>
    </row>
    <row r="680" spans="1:14" x14ac:dyDescent="0.25">
      <c r="A680" t="s">
        <v>108</v>
      </c>
      <c r="B680" t="str">
        <f t="shared" si="20"/>
        <v>p__Bacteroidota</v>
      </c>
      <c r="C680" s="1">
        <v>64</v>
      </c>
      <c r="D680" s="3">
        <v>2710442</v>
      </c>
      <c r="E680" s="3">
        <f t="shared" si="21"/>
        <v>2.710442</v>
      </c>
      <c r="F680" s="1">
        <v>2012</v>
      </c>
      <c r="G680" s="2">
        <v>42350.7</v>
      </c>
      <c r="H680" s="1">
        <v>247075</v>
      </c>
      <c r="M680" t="s">
        <v>108</v>
      </c>
      <c r="N680" t="s">
        <v>1594</v>
      </c>
    </row>
    <row r="681" spans="1:14" x14ac:dyDescent="0.25">
      <c r="A681" t="s">
        <v>109</v>
      </c>
      <c r="B681" t="str">
        <f t="shared" si="20"/>
        <v>p__Bacteroidota</v>
      </c>
      <c r="C681" s="1">
        <v>51</v>
      </c>
      <c r="D681" s="3">
        <v>2772666</v>
      </c>
      <c r="E681" s="3">
        <f t="shared" si="21"/>
        <v>2.7726660000000001</v>
      </c>
      <c r="F681" s="1">
        <v>2080</v>
      </c>
      <c r="G681" s="1">
        <v>54366</v>
      </c>
      <c r="H681" s="1">
        <v>301577</v>
      </c>
      <c r="M681" t="s">
        <v>109</v>
      </c>
      <c r="N681" t="s">
        <v>1594</v>
      </c>
    </row>
    <row r="682" spans="1:14" x14ac:dyDescent="0.25">
      <c r="A682" t="s">
        <v>110</v>
      </c>
      <c r="B682" t="str">
        <f t="shared" si="20"/>
        <v>p__Bacteroidota</v>
      </c>
      <c r="C682" s="1">
        <v>14</v>
      </c>
      <c r="D682" s="3">
        <v>2675789</v>
      </c>
      <c r="E682" s="3">
        <f t="shared" si="21"/>
        <v>2.675789</v>
      </c>
      <c r="F682" s="1">
        <v>52906</v>
      </c>
      <c r="G682" s="2">
        <v>191127.8</v>
      </c>
      <c r="H682" s="1">
        <v>373971</v>
      </c>
      <c r="M682" t="s">
        <v>110</v>
      </c>
      <c r="N682" t="s">
        <v>1594</v>
      </c>
    </row>
    <row r="683" spans="1:14" x14ac:dyDescent="0.25">
      <c r="A683" t="s">
        <v>111</v>
      </c>
      <c r="B683" t="str">
        <f t="shared" si="20"/>
        <v>p__Bacteroidota</v>
      </c>
      <c r="C683" s="1">
        <v>63</v>
      </c>
      <c r="D683" s="3">
        <v>3446824</v>
      </c>
      <c r="E683" s="3">
        <f t="shared" si="21"/>
        <v>3.4468239999999999</v>
      </c>
      <c r="F683" s="1">
        <v>2094</v>
      </c>
      <c r="G683" s="2">
        <v>54711.5</v>
      </c>
      <c r="H683" s="1">
        <v>676923</v>
      </c>
      <c r="M683" t="s">
        <v>111</v>
      </c>
      <c r="N683" t="s">
        <v>1594</v>
      </c>
    </row>
    <row r="684" spans="1:14" x14ac:dyDescent="0.25">
      <c r="A684" t="s">
        <v>112</v>
      </c>
      <c r="B684" t="str">
        <f t="shared" si="20"/>
        <v>p__Bacteroidota</v>
      </c>
      <c r="C684" s="1">
        <v>5</v>
      </c>
      <c r="D684" s="3">
        <v>2930815</v>
      </c>
      <c r="E684" s="3">
        <f t="shared" si="21"/>
        <v>2.9308149999999999</v>
      </c>
      <c r="F684" s="1">
        <v>120827</v>
      </c>
      <c r="G684" s="1">
        <v>586163</v>
      </c>
      <c r="H684" s="1">
        <v>1192142</v>
      </c>
      <c r="M684" t="s">
        <v>112</v>
      </c>
      <c r="N684" t="s">
        <v>1594</v>
      </c>
    </row>
    <row r="685" spans="1:14" x14ac:dyDescent="0.25">
      <c r="A685" t="s">
        <v>113</v>
      </c>
      <c r="B685" t="str">
        <f t="shared" si="20"/>
        <v>p__Bacteroidota</v>
      </c>
      <c r="C685" s="1">
        <v>3</v>
      </c>
      <c r="D685" s="3">
        <v>3381931</v>
      </c>
      <c r="E685" s="3">
        <f t="shared" si="21"/>
        <v>3.3819309999999998</v>
      </c>
      <c r="F685" s="1">
        <v>45261</v>
      </c>
      <c r="G685" s="2">
        <v>1127310.3</v>
      </c>
      <c r="H685" s="1">
        <v>3016294</v>
      </c>
      <c r="M685" t="s">
        <v>113</v>
      </c>
      <c r="N685" t="s">
        <v>1594</v>
      </c>
    </row>
    <row r="686" spans="1:14" x14ac:dyDescent="0.25">
      <c r="A686" t="s">
        <v>114</v>
      </c>
      <c r="B686" t="str">
        <f t="shared" si="20"/>
        <v>p__Bacteroidota</v>
      </c>
      <c r="C686" s="1">
        <v>5</v>
      </c>
      <c r="D686" s="3">
        <v>2734535</v>
      </c>
      <c r="E686" s="3">
        <f t="shared" si="21"/>
        <v>2.7345350000000002</v>
      </c>
      <c r="F686" s="1">
        <v>71461</v>
      </c>
      <c r="G686" s="1">
        <v>546907</v>
      </c>
      <c r="H686" s="1">
        <v>1462515</v>
      </c>
      <c r="M686" t="s">
        <v>114</v>
      </c>
      <c r="N686" t="s">
        <v>1594</v>
      </c>
    </row>
    <row r="687" spans="1:14" x14ac:dyDescent="0.25">
      <c r="A687" t="s">
        <v>115</v>
      </c>
      <c r="B687" t="str">
        <f t="shared" si="20"/>
        <v>p__Bacteroidota</v>
      </c>
      <c r="C687" s="1">
        <v>8</v>
      </c>
      <c r="D687" s="3">
        <v>3104370</v>
      </c>
      <c r="E687" s="3">
        <f t="shared" si="21"/>
        <v>3.1043699999999999</v>
      </c>
      <c r="F687" s="1">
        <v>158598</v>
      </c>
      <c r="G687" s="2">
        <v>388046.3</v>
      </c>
      <c r="H687" s="1">
        <v>654837</v>
      </c>
      <c r="M687" t="s">
        <v>115</v>
      </c>
      <c r="N687" t="s">
        <v>1594</v>
      </c>
    </row>
    <row r="688" spans="1:14" x14ac:dyDescent="0.25">
      <c r="A688" t="s">
        <v>116</v>
      </c>
      <c r="B688" t="str">
        <f t="shared" si="20"/>
        <v>p__Bacteroidota</v>
      </c>
      <c r="C688" s="1">
        <v>2</v>
      </c>
      <c r="D688" s="3">
        <v>2550333</v>
      </c>
      <c r="E688" s="3">
        <f t="shared" si="21"/>
        <v>2.5503330000000002</v>
      </c>
      <c r="F688" s="1">
        <v>1033693</v>
      </c>
      <c r="G688" s="2">
        <v>1275166.5</v>
      </c>
      <c r="H688" s="1">
        <v>1516640</v>
      </c>
      <c r="M688" t="s">
        <v>116</v>
      </c>
      <c r="N688" t="s">
        <v>1594</v>
      </c>
    </row>
    <row r="689" spans="1:14" x14ac:dyDescent="0.25">
      <c r="A689" t="s">
        <v>117</v>
      </c>
      <c r="B689" t="str">
        <f t="shared" si="20"/>
        <v>p__Bacteroidota</v>
      </c>
      <c r="C689" s="1">
        <v>28</v>
      </c>
      <c r="D689" s="3">
        <v>2184728</v>
      </c>
      <c r="E689" s="3">
        <f t="shared" si="21"/>
        <v>2.1847279999999998</v>
      </c>
      <c r="F689" s="1">
        <v>9148</v>
      </c>
      <c r="G689" s="1">
        <v>78026</v>
      </c>
      <c r="H689" s="1">
        <v>245923</v>
      </c>
      <c r="M689" t="s">
        <v>117</v>
      </c>
      <c r="N689" t="s">
        <v>1594</v>
      </c>
    </row>
    <row r="690" spans="1:14" x14ac:dyDescent="0.25">
      <c r="A690" t="s">
        <v>118</v>
      </c>
      <c r="B690" t="str">
        <f t="shared" si="20"/>
        <v>p__Bacteroidota</v>
      </c>
      <c r="C690" s="1">
        <v>215</v>
      </c>
      <c r="D690" s="3">
        <v>2282583</v>
      </c>
      <c r="E690" s="3">
        <f t="shared" si="21"/>
        <v>2.2825829999999998</v>
      </c>
      <c r="F690" s="2">
        <v>2007</v>
      </c>
      <c r="G690" s="1">
        <v>10616.7</v>
      </c>
      <c r="H690" s="1">
        <v>170095</v>
      </c>
      <c r="M690" t="s">
        <v>118</v>
      </c>
      <c r="N690" t="s">
        <v>1594</v>
      </c>
    </row>
    <row r="691" spans="1:14" x14ac:dyDescent="0.25">
      <c r="A691" t="s">
        <v>119</v>
      </c>
      <c r="B691" t="str">
        <f t="shared" si="20"/>
        <v>p__Bacteroidota</v>
      </c>
      <c r="C691" s="1">
        <v>32</v>
      </c>
      <c r="D691" s="3">
        <v>2216849</v>
      </c>
      <c r="E691" s="3">
        <f t="shared" si="21"/>
        <v>2.2168489999999998</v>
      </c>
      <c r="F691" s="1">
        <v>9333</v>
      </c>
      <c r="G691" s="2">
        <v>69276.5</v>
      </c>
      <c r="H691" s="1">
        <v>179595</v>
      </c>
      <c r="M691" t="s">
        <v>119</v>
      </c>
      <c r="N691" t="s">
        <v>1594</v>
      </c>
    </row>
    <row r="692" spans="1:14" x14ac:dyDescent="0.25">
      <c r="A692" t="s">
        <v>120</v>
      </c>
      <c r="B692" t="str">
        <f t="shared" si="20"/>
        <v>p__Bacteroidota</v>
      </c>
      <c r="C692" s="1">
        <v>21</v>
      </c>
      <c r="D692" s="3">
        <v>2197504</v>
      </c>
      <c r="E692" s="3">
        <f t="shared" si="21"/>
        <v>2.1975039999999999</v>
      </c>
      <c r="F692" s="1">
        <v>2968</v>
      </c>
      <c r="G692" s="1">
        <v>104643</v>
      </c>
      <c r="H692" s="1">
        <v>291120</v>
      </c>
      <c r="M692" t="s">
        <v>120</v>
      </c>
      <c r="N692" t="s">
        <v>1594</v>
      </c>
    </row>
    <row r="693" spans="1:14" x14ac:dyDescent="0.25">
      <c r="A693" t="s">
        <v>121</v>
      </c>
      <c r="B693" t="str">
        <f t="shared" si="20"/>
        <v>p__Bacteroidota</v>
      </c>
      <c r="C693" s="1">
        <v>8</v>
      </c>
      <c r="D693" s="3">
        <v>2242144</v>
      </c>
      <c r="E693" s="3">
        <f t="shared" si="21"/>
        <v>2.2421440000000001</v>
      </c>
      <c r="F693" s="1">
        <v>9579</v>
      </c>
      <c r="G693" s="1">
        <v>280268</v>
      </c>
      <c r="H693" s="1">
        <v>679821</v>
      </c>
      <c r="M693" t="s">
        <v>121</v>
      </c>
      <c r="N693" t="s">
        <v>1594</v>
      </c>
    </row>
    <row r="694" spans="1:14" x14ac:dyDescent="0.25">
      <c r="A694" t="s">
        <v>122</v>
      </c>
      <c r="B694" t="str">
        <f t="shared" si="20"/>
        <v>p__Bacteroidota</v>
      </c>
      <c r="C694" s="1">
        <v>18</v>
      </c>
      <c r="D694" s="3">
        <v>2591984</v>
      </c>
      <c r="E694" s="3">
        <f t="shared" si="21"/>
        <v>2.5919840000000001</v>
      </c>
      <c r="F694" s="1">
        <v>2158</v>
      </c>
      <c r="G694" s="2">
        <v>143999.1</v>
      </c>
      <c r="H694" s="1">
        <v>783663</v>
      </c>
      <c r="M694" t="s">
        <v>122</v>
      </c>
      <c r="N694" t="s">
        <v>1594</v>
      </c>
    </row>
    <row r="695" spans="1:14" x14ac:dyDescent="0.25">
      <c r="A695" t="s">
        <v>123</v>
      </c>
      <c r="B695" t="str">
        <f t="shared" si="20"/>
        <v>p__Bacteroidota</v>
      </c>
      <c r="C695" s="1">
        <v>5</v>
      </c>
      <c r="D695" s="3">
        <v>2303984</v>
      </c>
      <c r="E695" s="3">
        <f t="shared" si="21"/>
        <v>2.3039839999999998</v>
      </c>
      <c r="F695" s="1">
        <v>196377</v>
      </c>
      <c r="G695" s="2">
        <v>460796.8</v>
      </c>
      <c r="H695" s="1">
        <v>995132</v>
      </c>
      <c r="M695" t="s">
        <v>123</v>
      </c>
      <c r="N695" t="s">
        <v>1594</v>
      </c>
    </row>
    <row r="696" spans="1:14" x14ac:dyDescent="0.25">
      <c r="A696" t="s">
        <v>124</v>
      </c>
      <c r="B696" t="str">
        <f t="shared" si="20"/>
        <v>p__Bacteroidota</v>
      </c>
      <c r="C696" s="1">
        <v>6</v>
      </c>
      <c r="D696" s="3">
        <v>2436806</v>
      </c>
      <c r="E696" s="3">
        <f t="shared" si="21"/>
        <v>2.4368059999999998</v>
      </c>
      <c r="F696" s="1">
        <v>2097</v>
      </c>
      <c r="G696" s="2">
        <v>406134.3</v>
      </c>
      <c r="H696" s="1">
        <v>782008</v>
      </c>
      <c r="M696" t="s">
        <v>124</v>
      </c>
      <c r="N696" t="s">
        <v>1594</v>
      </c>
    </row>
    <row r="697" spans="1:14" x14ac:dyDescent="0.25">
      <c r="A697" t="s">
        <v>125</v>
      </c>
      <c r="B697" t="str">
        <f t="shared" si="20"/>
        <v>p__Bacteroidota</v>
      </c>
      <c r="C697" s="1">
        <v>3</v>
      </c>
      <c r="D697" s="3">
        <v>3644924</v>
      </c>
      <c r="E697" s="3">
        <f t="shared" si="21"/>
        <v>3.6449240000000001</v>
      </c>
      <c r="F697" s="1">
        <v>105186</v>
      </c>
      <c r="G697" s="2">
        <v>1214974.7</v>
      </c>
      <c r="H697" s="1">
        <v>2795579</v>
      </c>
      <c r="M697" t="s">
        <v>125</v>
      </c>
      <c r="N697" t="s">
        <v>1594</v>
      </c>
    </row>
    <row r="698" spans="1:14" x14ac:dyDescent="0.25">
      <c r="A698" t="s">
        <v>126</v>
      </c>
      <c r="B698" t="str">
        <f t="shared" si="20"/>
        <v>p__Bacteroidota</v>
      </c>
      <c r="C698" s="1">
        <v>20</v>
      </c>
      <c r="D698" s="3">
        <v>2069455</v>
      </c>
      <c r="E698" s="3">
        <f t="shared" si="21"/>
        <v>2.069455</v>
      </c>
      <c r="F698" s="1">
        <v>5923</v>
      </c>
      <c r="G698" s="2">
        <v>103472.8</v>
      </c>
      <c r="H698" s="1">
        <v>521021</v>
      </c>
      <c r="M698" t="s">
        <v>126</v>
      </c>
      <c r="N698" t="s">
        <v>1594</v>
      </c>
    </row>
    <row r="699" spans="1:14" x14ac:dyDescent="0.25">
      <c r="A699" t="s">
        <v>127</v>
      </c>
      <c r="B699" t="str">
        <f t="shared" si="20"/>
        <v>p__Bacteroidota</v>
      </c>
      <c r="C699" s="1">
        <v>11</v>
      </c>
      <c r="D699" s="3">
        <v>2036672</v>
      </c>
      <c r="E699" s="3">
        <f t="shared" si="21"/>
        <v>2.0366719999999998</v>
      </c>
      <c r="F699" s="1">
        <v>52501</v>
      </c>
      <c r="G699" s="1">
        <v>185152</v>
      </c>
      <c r="H699" s="1">
        <v>512488</v>
      </c>
      <c r="M699" t="s">
        <v>127</v>
      </c>
      <c r="N699" t="s">
        <v>1594</v>
      </c>
    </row>
    <row r="700" spans="1:14" x14ac:dyDescent="0.25">
      <c r="A700" t="s">
        <v>128</v>
      </c>
      <c r="B700" t="str">
        <f t="shared" si="20"/>
        <v>p__Bacteroidota</v>
      </c>
      <c r="C700" s="1">
        <v>38</v>
      </c>
      <c r="D700" s="3">
        <v>2396836</v>
      </c>
      <c r="E700" s="3">
        <f t="shared" si="21"/>
        <v>2.396836</v>
      </c>
      <c r="F700" s="1">
        <v>2038</v>
      </c>
      <c r="G700" s="2">
        <v>63074.6</v>
      </c>
      <c r="H700" s="1">
        <v>652790</v>
      </c>
      <c r="M700" t="s">
        <v>128</v>
      </c>
      <c r="N700" t="s">
        <v>1594</v>
      </c>
    </row>
    <row r="701" spans="1:14" x14ac:dyDescent="0.25">
      <c r="A701" t="s">
        <v>129</v>
      </c>
      <c r="B701" t="str">
        <f t="shared" si="20"/>
        <v>p__Bacteroidota</v>
      </c>
      <c r="C701" s="1">
        <v>21</v>
      </c>
      <c r="D701" s="3">
        <v>2471927</v>
      </c>
      <c r="E701" s="3">
        <f t="shared" si="21"/>
        <v>2.471927</v>
      </c>
      <c r="F701" s="1">
        <v>15823</v>
      </c>
      <c r="G701" s="2">
        <v>117710.8</v>
      </c>
      <c r="H701" s="1">
        <v>357399</v>
      </c>
      <c r="M701" t="s">
        <v>129</v>
      </c>
      <c r="N701" t="s">
        <v>1594</v>
      </c>
    </row>
    <row r="702" spans="1:14" x14ac:dyDescent="0.25">
      <c r="A702" t="s">
        <v>130</v>
      </c>
      <c r="B702" t="str">
        <f t="shared" si="20"/>
        <v>p__Bacteroidota</v>
      </c>
      <c r="C702" s="1">
        <v>5</v>
      </c>
      <c r="D702" s="3">
        <v>2244765</v>
      </c>
      <c r="E702" s="3">
        <f t="shared" si="21"/>
        <v>2.2447650000000001</v>
      </c>
      <c r="F702" s="1">
        <v>2099</v>
      </c>
      <c r="G702" s="1">
        <v>448953</v>
      </c>
      <c r="H702" s="1">
        <v>693096</v>
      </c>
      <c r="M702" t="s">
        <v>130</v>
      </c>
      <c r="N702" t="s">
        <v>1594</v>
      </c>
    </row>
    <row r="703" spans="1:14" x14ac:dyDescent="0.25">
      <c r="A703" t="s">
        <v>131</v>
      </c>
      <c r="B703" t="str">
        <f t="shared" si="20"/>
        <v>p__Bacteroidota</v>
      </c>
      <c r="C703" s="1">
        <v>3</v>
      </c>
      <c r="D703" s="3">
        <v>2120797</v>
      </c>
      <c r="E703" s="3">
        <f t="shared" si="21"/>
        <v>2.120797</v>
      </c>
      <c r="F703" s="1">
        <v>6225</v>
      </c>
      <c r="G703" s="2">
        <v>706932.3</v>
      </c>
      <c r="H703" s="1">
        <v>1893633</v>
      </c>
      <c r="M703" t="s">
        <v>131</v>
      </c>
      <c r="N703" t="s">
        <v>1594</v>
      </c>
    </row>
    <row r="704" spans="1:14" x14ac:dyDescent="0.25">
      <c r="A704" t="s">
        <v>132</v>
      </c>
      <c r="B704" t="str">
        <f t="shared" si="20"/>
        <v>p__Bacteroidota</v>
      </c>
      <c r="C704" s="1">
        <v>9</v>
      </c>
      <c r="D704" s="3">
        <v>2492913</v>
      </c>
      <c r="E704" s="3">
        <f t="shared" si="21"/>
        <v>2.4929130000000002</v>
      </c>
      <c r="F704" s="1">
        <v>5305</v>
      </c>
      <c r="G704" s="2">
        <v>276990.3</v>
      </c>
      <c r="H704" s="1">
        <v>683816</v>
      </c>
      <c r="M704" t="s">
        <v>132</v>
      </c>
      <c r="N704" t="s">
        <v>1594</v>
      </c>
    </row>
    <row r="705" spans="1:14" x14ac:dyDescent="0.25">
      <c r="A705" t="s">
        <v>133</v>
      </c>
      <c r="B705" t="str">
        <f t="shared" si="20"/>
        <v>p__Bacteroidota</v>
      </c>
      <c r="C705" s="1">
        <v>2</v>
      </c>
      <c r="D705" s="3">
        <v>2293353</v>
      </c>
      <c r="E705" s="3">
        <f t="shared" si="21"/>
        <v>2.2933530000000002</v>
      </c>
      <c r="F705" s="1">
        <v>1133992</v>
      </c>
      <c r="G705" s="2">
        <v>1146676.5</v>
      </c>
      <c r="H705" s="1">
        <v>1159361</v>
      </c>
      <c r="M705" t="s">
        <v>133</v>
      </c>
      <c r="N705" t="s">
        <v>1594</v>
      </c>
    </row>
    <row r="706" spans="1:14" x14ac:dyDescent="0.25">
      <c r="A706" t="s">
        <v>134</v>
      </c>
      <c r="B706" t="str">
        <f t="shared" ref="B706:B769" si="22">VLOOKUP(A706,M:N,2,FALSE)</f>
        <v>p__Bacteroidota</v>
      </c>
      <c r="C706" s="1">
        <v>6</v>
      </c>
      <c r="D706" s="3">
        <v>3660134</v>
      </c>
      <c r="E706" s="3">
        <f t="shared" ref="E706:E769" si="23">D706/1000000</f>
        <v>3.6601340000000002</v>
      </c>
      <c r="F706" s="1">
        <v>43669</v>
      </c>
      <c r="G706" s="2">
        <v>610022.30000000005</v>
      </c>
      <c r="H706" s="1">
        <v>1144827</v>
      </c>
      <c r="M706" t="s">
        <v>134</v>
      </c>
      <c r="N706" t="s">
        <v>1594</v>
      </c>
    </row>
    <row r="707" spans="1:14" x14ac:dyDescent="0.25">
      <c r="A707" t="s">
        <v>135</v>
      </c>
      <c r="B707" t="str">
        <f t="shared" si="22"/>
        <v>p__Bacteroidota</v>
      </c>
      <c r="C707" s="1">
        <v>8</v>
      </c>
      <c r="D707" s="3">
        <v>2849380</v>
      </c>
      <c r="E707" s="3">
        <f t="shared" si="23"/>
        <v>2.84938</v>
      </c>
      <c r="F707" s="1">
        <v>3665</v>
      </c>
      <c r="G707" s="2">
        <v>356172.5</v>
      </c>
      <c r="H707" s="1">
        <v>1787166</v>
      </c>
      <c r="M707" t="s">
        <v>135</v>
      </c>
      <c r="N707" t="s">
        <v>1594</v>
      </c>
    </row>
    <row r="708" spans="1:14" x14ac:dyDescent="0.25">
      <c r="A708" t="s">
        <v>136</v>
      </c>
      <c r="B708" t="str">
        <f t="shared" si="22"/>
        <v>p__Bacteroidota</v>
      </c>
      <c r="C708" s="1">
        <v>6</v>
      </c>
      <c r="D708" s="3">
        <v>2332333</v>
      </c>
      <c r="E708" s="3">
        <f t="shared" si="23"/>
        <v>2.3323330000000002</v>
      </c>
      <c r="F708" s="1">
        <v>11601</v>
      </c>
      <c r="G708" s="2">
        <v>388722.2</v>
      </c>
      <c r="H708" s="1">
        <v>1196176</v>
      </c>
      <c r="M708" t="s">
        <v>136</v>
      </c>
      <c r="N708" t="s">
        <v>1594</v>
      </c>
    </row>
    <row r="709" spans="1:14" x14ac:dyDescent="0.25">
      <c r="A709" t="s">
        <v>137</v>
      </c>
      <c r="B709" t="str">
        <f t="shared" si="22"/>
        <v>p__Bacteroidota</v>
      </c>
      <c r="C709" s="1">
        <v>3</v>
      </c>
      <c r="D709" s="3">
        <v>2267992</v>
      </c>
      <c r="E709" s="3">
        <f t="shared" si="23"/>
        <v>2.267992</v>
      </c>
      <c r="F709" s="1">
        <v>568742</v>
      </c>
      <c r="G709" s="2">
        <v>755997.3</v>
      </c>
      <c r="H709" s="1">
        <v>1130099</v>
      </c>
      <c r="M709" t="s">
        <v>137</v>
      </c>
      <c r="N709" t="s">
        <v>1594</v>
      </c>
    </row>
    <row r="710" spans="1:14" x14ac:dyDescent="0.25">
      <c r="A710" t="s">
        <v>138</v>
      </c>
      <c r="B710" t="str">
        <f t="shared" si="22"/>
        <v>p__Bacteroidota</v>
      </c>
      <c r="C710" s="1">
        <v>4</v>
      </c>
      <c r="D710" s="3">
        <v>2343135</v>
      </c>
      <c r="E710" s="3">
        <f t="shared" si="23"/>
        <v>2.3431350000000002</v>
      </c>
      <c r="F710" s="1">
        <v>24342</v>
      </c>
      <c r="G710" s="2">
        <v>585783.80000000005</v>
      </c>
      <c r="H710" s="1">
        <v>1370970</v>
      </c>
      <c r="M710" t="s">
        <v>138</v>
      </c>
      <c r="N710" t="s">
        <v>1594</v>
      </c>
    </row>
    <row r="711" spans="1:14" x14ac:dyDescent="0.25">
      <c r="A711" t="s">
        <v>139</v>
      </c>
      <c r="B711" t="str">
        <f t="shared" si="22"/>
        <v>p__Bacteroidota</v>
      </c>
      <c r="C711" s="1">
        <v>20</v>
      </c>
      <c r="D711" s="3">
        <v>5009070</v>
      </c>
      <c r="E711" s="3">
        <f t="shared" si="23"/>
        <v>5.0090700000000004</v>
      </c>
      <c r="F711" s="1">
        <v>7840</v>
      </c>
      <c r="G711" s="2">
        <v>250453.5</v>
      </c>
      <c r="H711" s="1">
        <v>451501</v>
      </c>
      <c r="M711" t="s">
        <v>139</v>
      </c>
      <c r="N711" t="s">
        <v>1594</v>
      </c>
    </row>
    <row r="712" spans="1:14" x14ac:dyDescent="0.25">
      <c r="A712" t="s">
        <v>140</v>
      </c>
      <c r="B712" t="str">
        <f t="shared" si="22"/>
        <v>p__Bacteroidota</v>
      </c>
      <c r="C712" s="1">
        <v>12</v>
      </c>
      <c r="D712" s="3">
        <v>4679512</v>
      </c>
      <c r="E712" s="3">
        <f t="shared" si="23"/>
        <v>4.6795119999999999</v>
      </c>
      <c r="F712" s="1">
        <v>2234</v>
      </c>
      <c r="G712" s="2">
        <v>389959.3</v>
      </c>
      <c r="H712" s="1">
        <v>2267138</v>
      </c>
      <c r="M712" t="s">
        <v>140</v>
      </c>
      <c r="N712" t="s">
        <v>1594</v>
      </c>
    </row>
    <row r="713" spans="1:14" x14ac:dyDescent="0.25">
      <c r="A713" t="s">
        <v>141</v>
      </c>
      <c r="B713" t="str">
        <f t="shared" si="22"/>
        <v>p__Bacteroidota</v>
      </c>
      <c r="C713" s="1">
        <v>7</v>
      </c>
      <c r="D713" s="3">
        <v>4375036</v>
      </c>
      <c r="E713" s="3">
        <f t="shared" si="23"/>
        <v>4.3750359999999997</v>
      </c>
      <c r="F713" s="1">
        <v>22980</v>
      </c>
      <c r="G713" s="2">
        <v>625005.1</v>
      </c>
      <c r="H713" s="1">
        <v>1333149</v>
      </c>
      <c r="M713" t="s">
        <v>141</v>
      </c>
      <c r="N713" t="s">
        <v>1594</v>
      </c>
    </row>
    <row r="714" spans="1:14" x14ac:dyDescent="0.25">
      <c r="A714" t="s">
        <v>142</v>
      </c>
      <c r="B714" t="str">
        <f t="shared" si="22"/>
        <v>p__Bacteroidota</v>
      </c>
      <c r="C714" s="1">
        <v>72</v>
      </c>
      <c r="D714" s="3">
        <v>3914527</v>
      </c>
      <c r="E714" s="3">
        <f t="shared" si="23"/>
        <v>3.9145270000000001</v>
      </c>
      <c r="F714" s="1">
        <v>2004</v>
      </c>
      <c r="G714" s="2">
        <v>54368.4</v>
      </c>
      <c r="H714" s="1">
        <v>1475591</v>
      </c>
      <c r="M714" t="s">
        <v>142</v>
      </c>
      <c r="N714" t="s">
        <v>1594</v>
      </c>
    </row>
    <row r="715" spans="1:14" x14ac:dyDescent="0.25">
      <c r="A715" t="s">
        <v>143</v>
      </c>
      <c r="B715" t="str">
        <f t="shared" si="22"/>
        <v>p__Bacteroidota</v>
      </c>
      <c r="C715" s="1">
        <v>14</v>
      </c>
      <c r="D715" s="3">
        <v>3982484</v>
      </c>
      <c r="E715" s="3">
        <f t="shared" si="23"/>
        <v>3.9824839999999999</v>
      </c>
      <c r="F715" s="1">
        <v>39434</v>
      </c>
      <c r="G715" s="2">
        <v>284463.09999999998</v>
      </c>
      <c r="H715" s="1">
        <v>782804</v>
      </c>
      <c r="M715" t="s">
        <v>143</v>
      </c>
      <c r="N715" t="s">
        <v>1594</v>
      </c>
    </row>
    <row r="716" spans="1:14" x14ac:dyDescent="0.25">
      <c r="A716" t="s">
        <v>144</v>
      </c>
      <c r="B716" t="str">
        <f t="shared" si="22"/>
        <v>p__Bacteroidota</v>
      </c>
      <c r="C716" s="1">
        <v>12</v>
      </c>
      <c r="D716" s="3">
        <v>6900742</v>
      </c>
      <c r="E716" s="3">
        <f t="shared" si="23"/>
        <v>6.9007420000000002</v>
      </c>
      <c r="F716" s="1">
        <v>13993</v>
      </c>
      <c r="G716" s="2">
        <v>575061.80000000005</v>
      </c>
      <c r="H716" s="1">
        <v>1888768</v>
      </c>
      <c r="M716" t="s">
        <v>144</v>
      </c>
      <c r="N716" t="s">
        <v>1594</v>
      </c>
    </row>
    <row r="717" spans="1:14" x14ac:dyDescent="0.25">
      <c r="A717" t="s">
        <v>145</v>
      </c>
      <c r="B717" t="str">
        <f t="shared" si="22"/>
        <v>p__Bacteroidota</v>
      </c>
      <c r="C717" s="1">
        <v>101</v>
      </c>
      <c r="D717" s="3">
        <v>3032271</v>
      </c>
      <c r="E717" s="3">
        <f t="shared" si="23"/>
        <v>3.0322710000000002</v>
      </c>
      <c r="F717" s="2">
        <v>2002</v>
      </c>
      <c r="G717" s="1">
        <v>30022.5</v>
      </c>
      <c r="H717" s="1">
        <v>203567</v>
      </c>
      <c r="M717" t="s">
        <v>145</v>
      </c>
      <c r="N717" t="s">
        <v>1594</v>
      </c>
    </row>
    <row r="718" spans="1:14" x14ac:dyDescent="0.25">
      <c r="A718" t="s">
        <v>146</v>
      </c>
      <c r="B718" t="str">
        <f t="shared" si="22"/>
        <v>p__Bacteroidota</v>
      </c>
      <c r="C718" s="1">
        <v>11</v>
      </c>
      <c r="D718" s="3">
        <v>3781921</v>
      </c>
      <c r="E718" s="3">
        <f t="shared" si="23"/>
        <v>3.7819210000000001</v>
      </c>
      <c r="F718" s="1">
        <v>50634</v>
      </c>
      <c r="G718" s="1">
        <v>343811</v>
      </c>
      <c r="H718" s="1">
        <v>1123454</v>
      </c>
      <c r="M718" t="s">
        <v>146</v>
      </c>
      <c r="N718" t="s">
        <v>1594</v>
      </c>
    </row>
    <row r="719" spans="1:14" x14ac:dyDescent="0.25">
      <c r="A719" t="s">
        <v>147</v>
      </c>
      <c r="B719" t="str">
        <f t="shared" si="22"/>
        <v>p__Bacteroidota</v>
      </c>
      <c r="C719" s="1">
        <v>37</v>
      </c>
      <c r="D719" s="3">
        <v>5452890</v>
      </c>
      <c r="E719" s="3">
        <f t="shared" si="23"/>
        <v>5.45289</v>
      </c>
      <c r="F719" s="1">
        <v>4535</v>
      </c>
      <c r="G719" s="2">
        <v>147375.4</v>
      </c>
      <c r="H719" s="1">
        <v>1004721</v>
      </c>
      <c r="M719" t="s">
        <v>147</v>
      </c>
      <c r="N719" t="s">
        <v>1594</v>
      </c>
    </row>
    <row r="720" spans="1:14" x14ac:dyDescent="0.25">
      <c r="A720" t="s">
        <v>148</v>
      </c>
      <c r="B720" t="str">
        <f t="shared" si="22"/>
        <v>p__Bacteroidota</v>
      </c>
      <c r="C720" s="1">
        <v>17</v>
      </c>
      <c r="D720" s="3">
        <v>6967393</v>
      </c>
      <c r="E720" s="3">
        <f t="shared" si="23"/>
        <v>6.9673930000000004</v>
      </c>
      <c r="F720" s="1">
        <v>35072</v>
      </c>
      <c r="G720" s="2">
        <v>409846.6</v>
      </c>
      <c r="H720" s="1">
        <v>1320818</v>
      </c>
      <c r="M720" t="s">
        <v>148</v>
      </c>
      <c r="N720" t="s">
        <v>1594</v>
      </c>
    </row>
    <row r="721" spans="1:14" x14ac:dyDescent="0.25">
      <c r="A721" t="s">
        <v>149</v>
      </c>
      <c r="B721" t="str">
        <f t="shared" si="22"/>
        <v>p__Bacteroidota</v>
      </c>
      <c r="C721" s="1">
        <v>92</v>
      </c>
      <c r="D721" s="3">
        <v>3061244</v>
      </c>
      <c r="E721" s="3">
        <f t="shared" si="23"/>
        <v>3.0612439999999999</v>
      </c>
      <c r="F721" s="1">
        <v>2026</v>
      </c>
      <c r="G721" s="2">
        <v>33274.400000000001</v>
      </c>
      <c r="H721" s="1">
        <v>353592</v>
      </c>
      <c r="M721" t="s">
        <v>149</v>
      </c>
      <c r="N721" t="s">
        <v>1594</v>
      </c>
    </row>
    <row r="722" spans="1:14" x14ac:dyDescent="0.25">
      <c r="A722" t="s">
        <v>150</v>
      </c>
      <c r="B722" t="str">
        <f t="shared" si="22"/>
        <v>p__Bacteroidota</v>
      </c>
      <c r="C722" s="1">
        <v>18</v>
      </c>
      <c r="D722" s="3">
        <v>3637855</v>
      </c>
      <c r="E722" s="3">
        <f t="shared" si="23"/>
        <v>3.6378550000000001</v>
      </c>
      <c r="F722" s="1">
        <v>2151</v>
      </c>
      <c r="G722" s="2">
        <v>202103.1</v>
      </c>
      <c r="H722" s="1">
        <v>2180874</v>
      </c>
      <c r="M722" t="s">
        <v>150</v>
      </c>
      <c r="N722" t="s">
        <v>1594</v>
      </c>
    </row>
    <row r="723" spans="1:14" x14ac:dyDescent="0.25">
      <c r="A723" t="s">
        <v>151</v>
      </c>
      <c r="B723" t="str">
        <f t="shared" si="22"/>
        <v>p__Bacteroidota</v>
      </c>
      <c r="C723" s="1">
        <v>6</v>
      </c>
      <c r="D723" s="3">
        <v>3900766</v>
      </c>
      <c r="E723" s="3">
        <f t="shared" si="23"/>
        <v>3.900766</v>
      </c>
      <c r="F723" s="1">
        <v>19126</v>
      </c>
      <c r="G723" s="2">
        <v>650127.69999999995</v>
      </c>
      <c r="H723" s="1">
        <v>1758804</v>
      </c>
      <c r="M723" t="s">
        <v>151</v>
      </c>
      <c r="N723" t="s">
        <v>1594</v>
      </c>
    </row>
    <row r="724" spans="1:14" x14ac:dyDescent="0.25">
      <c r="A724" t="s">
        <v>152</v>
      </c>
      <c r="B724" t="str">
        <f t="shared" si="22"/>
        <v>p__Bacteroidota</v>
      </c>
      <c r="C724" s="1">
        <v>3</v>
      </c>
      <c r="D724" s="3">
        <v>3973095</v>
      </c>
      <c r="E724" s="3">
        <f t="shared" si="23"/>
        <v>3.9730949999999998</v>
      </c>
      <c r="F724" s="1">
        <v>613939</v>
      </c>
      <c r="G724" s="1">
        <v>1324365</v>
      </c>
      <c r="H724" s="1">
        <v>2539659</v>
      </c>
      <c r="M724" t="s">
        <v>152</v>
      </c>
      <c r="N724" t="s">
        <v>1594</v>
      </c>
    </row>
    <row r="725" spans="1:14" x14ac:dyDescent="0.25">
      <c r="A725" t="s">
        <v>153</v>
      </c>
      <c r="B725" t="str">
        <f t="shared" si="22"/>
        <v>p__Bacteroidota</v>
      </c>
      <c r="C725" s="1">
        <v>3</v>
      </c>
      <c r="D725" s="3">
        <v>2939594</v>
      </c>
      <c r="E725" s="3">
        <f t="shared" si="23"/>
        <v>2.939594</v>
      </c>
      <c r="F725" s="1">
        <v>66794</v>
      </c>
      <c r="G725" s="2">
        <v>979864.7</v>
      </c>
      <c r="H725" s="1">
        <v>2323423</v>
      </c>
      <c r="M725" t="s">
        <v>153</v>
      </c>
      <c r="N725" t="s">
        <v>1594</v>
      </c>
    </row>
    <row r="726" spans="1:14" x14ac:dyDescent="0.25">
      <c r="A726" t="s">
        <v>154</v>
      </c>
      <c r="B726" t="str">
        <f t="shared" si="22"/>
        <v>p__Bacteroidota</v>
      </c>
      <c r="C726" s="1">
        <v>7</v>
      </c>
      <c r="D726" s="3">
        <v>497224</v>
      </c>
      <c r="E726" s="3">
        <f t="shared" si="23"/>
        <v>0.497224</v>
      </c>
      <c r="F726" s="1">
        <v>22150</v>
      </c>
      <c r="G726" s="1">
        <v>71032</v>
      </c>
      <c r="H726" s="1">
        <v>103706</v>
      </c>
      <c r="M726" t="s">
        <v>154</v>
      </c>
      <c r="N726" t="s">
        <v>1594</v>
      </c>
    </row>
    <row r="727" spans="1:14" x14ac:dyDescent="0.25">
      <c r="A727" t="s">
        <v>461</v>
      </c>
      <c r="B727" t="str">
        <f t="shared" si="22"/>
        <v>p__Bacteroidota</v>
      </c>
      <c r="C727" s="1">
        <v>8</v>
      </c>
      <c r="D727" s="3">
        <v>2817300</v>
      </c>
      <c r="E727" s="3">
        <f t="shared" si="23"/>
        <v>2.8172999999999999</v>
      </c>
      <c r="F727" s="1">
        <v>2225</v>
      </c>
      <c r="G727" s="2">
        <v>352162.5</v>
      </c>
      <c r="H727" s="1">
        <v>890695</v>
      </c>
      <c r="M727" t="s">
        <v>461</v>
      </c>
      <c r="N727" t="s">
        <v>1594</v>
      </c>
    </row>
    <row r="728" spans="1:14" x14ac:dyDescent="0.25">
      <c r="A728" t="s">
        <v>462</v>
      </c>
      <c r="B728" t="str">
        <f t="shared" si="22"/>
        <v>p__Bacteroidota</v>
      </c>
      <c r="C728" s="1">
        <v>35</v>
      </c>
      <c r="D728" s="3">
        <v>1436823</v>
      </c>
      <c r="E728" s="3">
        <f t="shared" si="23"/>
        <v>1.436823</v>
      </c>
      <c r="F728" s="1">
        <v>2387</v>
      </c>
      <c r="G728" s="2">
        <v>41052.1</v>
      </c>
      <c r="H728" s="1">
        <v>142936</v>
      </c>
      <c r="M728" t="s">
        <v>462</v>
      </c>
      <c r="N728" t="s">
        <v>1594</v>
      </c>
    </row>
    <row r="729" spans="1:14" x14ac:dyDescent="0.25">
      <c r="A729" t="s">
        <v>463</v>
      </c>
      <c r="B729" t="str">
        <f t="shared" si="22"/>
        <v>p__Bacteroidota</v>
      </c>
      <c r="C729" s="1">
        <v>82</v>
      </c>
      <c r="D729" s="3">
        <v>2464253</v>
      </c>
      <c r="E729" s="3">
        <f t="shared" si="23"/>
        <v>2.4642529999999998</v>
      </c>
      <c r="F729" s="1">
        <v>2015</v>
      </c>
      <c r="G729" s="2">
        <v>30051.9</v>
      </c>
      <c r="H729" s="1">
        <v>154066</v>
      </c>
      <c r="M729" t="s">
        <v>463</v>
      </c>
      <c r="N729" t="s">
        <v>1594</v>
      </c>
    </row>
    <row r="730" spans="1:14" x14ac:dyDescent="0.25">
      <c r="A730" t="s">
        <v>464</v>
      </c>
      <c r="B730" t="str">
        <f t="shared" si="22"/>
        <v>p__Bacteroidota</v>
      </c>
      <c r="C730" s="1">
        <v>42</v>
      </c>
      <c r="D730" s="3">
        <v>2027145</v>
      </c>
      <c r="E730" s="3">
        <f t="shared" si="23"/>
        <v>2.027145</v>
      </c>
      <c r="F730" s="1">
        <v>4334</v>
      </c>
      <c r="G730" s="2">
        <v>48265.4</v>
      </c>
      <c r="H730" s="1">
        <v>197986</v>
      </c>
      <c r="M730" t="s">
        <v>464</v>
      </c>
      <c r="N730" t="s">
        <v>1594</v>
      </c>
    </row>
    <row r="731" spans="1:14" x14ac:dyDescent="0.25">
      <c r="A731" t="s">
        <v>465</v>
      </c>
      <c r="B731" t="str">
        <f t="shared" si="22"/>
        <v>p__Bacteroidota</v>
      </c>
      <c r="C731" s="1">
        <v>76</v>
      </c>
      <c r="D731" s="3">
        <v>1928320</v>
      </c>
      <c r="E731" s="3">
        <f t="shared" si="23"/>
        <v>1.92832</v>
      </c>
      <c r="F731" s="1">
        <v>2003</v>
      </c>
      <c r="G731" s="2">
        <v>25372.6</v>
      </c>
      <c r="H731" s="1">
        <v>156071</v>
      </c>
      <c r="M731" t="s">
        <v>465</v>
      </c>
      <c r="N731" t="s">
        <v>1594</v>
      </c>
    </row>
    <row r="732" spans="1:14" x14ac:dyDescent="0.25">
      <c r="A732" t="s">
        <v>466</v>
      </c>
      <c r="B732" t="str">
        <f t="shared" si="22"/>
        <v>p__Bacteroidota</v>
      </c>
      <c r="C732" s="1">
        <v>55</v>
      </c>
      <c r="D732" s="3">
        <v>3224419</v>
      </c>
      <c r="E732" s="3">
        <f t="shared" si="23"/>
        <v>3.2244190000000001</v>
      </c>
      <c r="F732" s="1">
        <v>2605</v>
      </c>
      <c r="G732" s="2">
        <v>58625.8</v>
      </c>
      <c r="H732" s="1">
        <v>347478</v>
      </c>
      <c r="M732" t="s">
        <v>466</v>
      </c>
      <c r="N732" t="s">
        <v>1594</v>
      </c>
    </row>
    <row r="733" spans="1:14" x14ac:dyDescent="0.25">
      <c r="A733" t="s">
        <v>467</v>
      </c>
      <c r="B733" t="str">
        <f t="shared" si="22"/>
        <v>p__Bacteroidota</v>
      </c>
      <c r="C733" s="1">
        <v>63</v>
      </c>
      <c r="D733" s="3">
        <v>3424049</v>
      </c>
      <c r="E733" s="3">
        <f t="shared" si="23"/>
        <v>3.4240490000000001</v>
      </c>
      <c r="F733" s="1">
        <v>2020</v>
      </c>
      <c r="G733" s="1">
        <v>54350</v>
      </c>
      <c r="H733" s="1">
        <v>293489</v>
      </c>
      <c r="M733" t="s">
        <v>467</v>
      </c>
      <c r="N733" t="s">
        <v>1594</v>
      </c>
    </row>
    <row r="734" spans="1:14" x14ac:dyDescent="0.25">
      <c r="A734" t="s">
        <v>468</v>
      </c>
      <c r="B734" t="str">
        <f t="shared" si="22"/>
        <v>p__Bacteroidota</v>
      </c>
      <c r="C734" s="1">
        <v>50</v>
      </c>
      <c r="D734" s="3">
        <v>2467642</v>
      </c>
      <c r="E734" s="3">
        <f t="shared" si="23"/>
        <v>2.4676420000000001</v>
      </c>
      <c r="F734" s="1">
        <v>3804</v>
      </c>
      <c r="G734" s="2">
        <v>49352.800000000003</v>
      </c>
      <c r="H734" s="1">
        <v>207366</v>
      </c>
      <c r="M734" t="s">
        <v>468</v>
      </c>
      <c r="N734" t="s">
        <v>1594</v>
      </c>
    </row>
    <row r="735" spans="1:14" x14ac:dyDescent="0.25">
      <c r="A735" t="s">
        <v>469</v>
      </c>
      <c r="B735" t="str">
        <f t="shared" si="22"/>
        <v>p__Bacteroidota</v>
      </c>
      <c r="C735" s="1">
        <v>19</v>
      </c>
      <c r="D735" s="3">
        <v>2505776</v>
      </c>
      <c r="E735" s="3">
        <f t="shared" si="23"/>
        <v>2.505776</v>
      </c>
      <c r="F735" s="1">
        <v>26384</v>
      </c>
      <c r="G735" s="2">
        <v>131882.9</v>
      </c>
      <c r="H735" s="1">
        <v>305038</v>
      </c>
      <c r="M735" t="s">
        <v>469</v>
      </c>
      <c r="N735" t="s">
        <v>1594</v>
      </c>
    </row>
    <row r="736" spans="1:14" x14ac:dyDescent="0.25">
      <c r="A736" t="s">
        <v>470</v>
      </c>
      <c r="B736" t="str">
        <f t="shared" si="22"/>
        <v>p__Bacteroidota</v>
      </c>
      <c r="C736" s="1">
        <v>31</v>
      </c>
      <c r="D736" s="3">
        <v>2055520</v>
      </c>
      <c r="E736" s="3">
        <f t="shared" si="23"/>
        <v>2.05552</v>
      </c>
      <c r="F736" s="1">
        <v>8473</v>
      </c>
      <c r="G736" s="2">
        <v>66307.100000000006</v>
      </c>
      <c r="H736" s="1">
        <v>178381</v>
      </c>
      <c r="M736" t="s">
        <v>470</v>
      </c>
      <c r="N736" t="s">
        <v>1594</v>
      </c>
    </row>
    <row r="737" spans="1:14" x14ac:dyDescent="0.25">
      <c r="A737" t="s">
        <v>471</v>
      </c>
      <c r="B737" t="str">
        <f t="shared" si="22"/>
        <v>p__Bacteroidota</v>
      </c>
      <c r="C737" s="1">
        <v>33</v>
      </c>
      <c r="D737" s="3">
        <v>2202261</v>
      </c>
      <c r="E737" s="3">
        <f t="shared" si="23"/>
        <v>2.202261</v>
      </c>
      <c r="F737" s="1">
        <v>9388</v>
      </c>
      <c r="G737" s="2">
        <v>66735.199999999997</v>
      </c>
      <c r="H737" s="1">
        <v>334710</v>
      </c>
      <c r="M737" t="s">
        <v>471</v>
      </c>
      <c r="N737" t="s">
        <v>1594</v>
      </c>
    </row>
    <row r="738" spans="1:14" x14ac:dyDescent="0.25">
      <c r="A738" t="s">
        <v>472</v>
      </c>
      <c r="B738" t="str">
        <f t="shared" si="22"/>
        <v>p__Bacteroidota</v>
      </c>
      <c r="C738" s="1">
        <v>45</v>
      </c>
      <c r="D738" s="3">
        <v>2401833</v>
      </c>
      <c r="E738" s="3">
        <f t="shared" si="23"/>
        <v>2.4018329999999999</v>
      </c>
      <c r="F738" s="1">
        <v>2077</v>
      </c>
      <c r="G738" s="2">
        <v>53374.1</v>
      </c>
      <c r="H738" s="1">
        <v>196463</v>
      </c>
      <c r="M738" t="s">
        <v>472</v>
      </c>
      <c r="N738" t="s">
        <v>1594</v>
      </c>
    </row>
    <row r="739" spans="1:14" x14ac:dyDescent="0.25">
      <c r="A739" t="s">
        <v>473</v>
      </c>
      <c r="B739" t="str">
        <f t="shared" si="22"/>
        <v>p__Bacteroidota</v>
      </c>
      <c r="C739" s="1">
        <v>36</v>
      </c>
      <c r="D739" s="3">
        <v>2727014</v>
      </c>
      <c r="E739" s="3">
        <f t="shared" si="23"/>
        <v>2.727014</v>
      </c>
      <c r="F739" s="1">
        <v>3074</v>
      </c>
      <c r="G739" s="2">
        <v>75750.399999999994</v>
      </c>
      <c r="H739" s="1">
        <v>248735</v>
      </c>
      <c r="M739" t="s">
        <v>473</v>
      </c>
      <c r="N739" t="s">
        <v>1594</v>
      </c>
    </row>
    <row r="740" spans="1:14" x14ac:dyDescent="0.25">
      <c r="A740" t="s">
        <v>474</v>
      </c>
      <c r="B740" t="str">
        <f t="shared" si="22"/>
        <v>p__Bacteroidota</v>
      </c>
      <c r="C740" s="1">
        <v>27</v>
      </c>
      <c r="D740" s="3">
        <v>2508989</v>
      </c>
      <c r="E740" s="3">
        <f t="shared" si="23"/>
        <v>2.5089890000000001</v>
      </c>
      <c r="F740" s="1">
        <v>4064</v>
      </c>
      <c r="G740" s="2">
        <v>92925.5</v>
      </c>
      <c r="H740" s="1">
        <v>433793</v>
      </c>
      <c r="M740" t="s">
        <v>474</v>
      </c>
      <c r="N740" t="s">
        <v>1594</v>
      </c>
    </row>
    <row r="741" spans="1:14" x14ac:dyDescent="0.25">
      <c r="A741" t="s">
        <v>475</v>
      </c>
      <c r="B741" t="str">
        <f t="shared" si="22"/>
        <v>p__Bacteroidota</v>
      </c>
      <c r="C741" s="1">
        <v>34</v>
      </c>
      <c r="D741" s="3">
        <v>2723286</v>
      </c>
      <c r="E741" s="3">
        <f t="shared" si="23"/>
        <v>2.7232859999999999</v>
      </c>
      <c r="F741" s="1">
        <v>4052</v>
      </c>
      <c r="G741" s="2">
        <v>80096.600000000006</v>
      </c>
      <c r="H741" s="1">
        <v>292242</v>
      </c>
      <c r="M741" t="s">
        <v>475</v>
      </c>
      <c r="N741" t="s">
        <v>1594</v>
      </c>
    </row>
    <row r="742" spans="1:14" x14ac:dyDescent="0.25">
      <c r="A742" t="s">
        <v>476</v>
      </c>
      <c r="B742" t="str">
        <f t="shared" si="22"/>
        <v>p__Bacteroidota</v>
      </c>
      <c r="C742" s="1">
        <v>33</v>
      </c>
      <c r="D742" s="3">
        <v>2764610</v>
      </c>
      <c r="E742" s="3">
        <f t="shared" si="23"/>
        <v>2.7646099999999998</v>
      </c>
      <c r="F742" s="1">
        <v>10491</v>
      </c>
      <c r="G742" s="2">
        <v>83776.100000000006</v>
      </c>
      <c r="H742" s="1">
        <v>214883</v>
      </c>
      <c r="M742" t="s">
        <v>476</v>
      </c>
      <c r="N742" t="s">
        <v>1594</v>
      </c>
    </row>
    <row r="743" spans="1:14" x14ac:dyDescent="0.25">
      <c r="A743" t="s">
        <v>477</v>
      </c>
      <c r="B743" t="str">
        <f t="shared" si="22"/>
        <v>p__Bacteroidota</v>
      </c>
      <c r="C743" s="1">
        <v>19</v>
      </c>
      <c r="D743" s="3">
        <v>2705373</v>
      </c>
      <c r="E743" s="3">
        <f t="shared" si="23"/>
        <v>2.7053729999999998</v>
      </c>
      <c r="F743" s="1">
        <v>5042</v>
      </c>
      <c r="G743" s="2">
        <v>142388.1</v>
      </c>
      <c r="H743" s="1">
        <v>298464</v>
      </c>
      <c r="M743" t="s">
        <v>477</v>
      </c>
      <c r="N743" t="s">
        <v>1594</v>
      </c>
    </row>
    <row r="744" spans="1:14" x14ac:dyDescent="0.25">
      <c r="A744" t="s">
        <v>478</v>
      </c>
      <c r="B744" t="str">
        <f t="shared" si="22"/>
        <v>p__Bacteroidota</v>
      </c>
      <c r="C744" s="1">
        <v>36</v>
      </c>
      <c r="D744" s="3">
        <v>3120841</v>
      </c>
      <c r="E744" s="3">
        <f t="shared" si="23"/>
        <v>3.120841</v>
      </c>
      <c r="F744" s="1">
        <v>7668</v>
      </c>
      <c r="G744" s="1">
        <v>86690</v>
      </c>
      <c r="H744" s="1">
        <v>500001</v>
      </c>
      <c r="M744" t="s">
        <v>478</v>
      </c>
      <c r="N744" t="s">
        <v>1594</v>
      </c>
    </row>
    <row r="745" spans="1:14" x14ac:dyDescent="0.25">
      <c r="A745" t="s">
        <v>479</v>
      </c>
      <c r="B745" t="str">
        <f t="shared" si="22"/>
        <v>p__Bacteroidota</v>
      </c>
      <c r="C745" s="1">
        <v>31</v>
      </c>
      <c r="D745" s="3">
        <v>2620209</v>
      </c>
      <c r="E745" s="3">
        <f t="shared" si="23"/>
        <v>2.620209</v>
      </c>
      <c r="F745" s="1">
        <v>7917</v>
      </c>
      <c r="G745" s="2">
        <v>84522.9</v>
      </c>
      <c r="H745" s="1">
        <v>222534</v>
      </c>
      <c r="M745" t="s">
        <v>479</v>
      </c>
      <c r="N745" t="s">
        <v>1594</v>
      </c>
    </row>
    <row r="746" spans="1:14" x14ac:dyDescent="0.25">
      <c r="A746" t="s">
        <v>480</v>
      </c>
      <c r="B746" t="str">
        <f t="shared" si="22"/>
        <v>p__Bacteroidota</v>
      </c>
      <c r="C746" s="1">
        <v>28</v>
      </c>
      <c r="D746" s="3">
        <v>2820900</v>
      </c>
      <c r="E746" s="3">
        <f t="shared" si="23"/>
        <v>2.8209</v>
      </c>
      <c r="F746" s="1">
        <v>7885</v>
      </c>
      <c r="G746" s="2">
        <v>100746.4</v>
      </c>
      <c r="H746" s="1">
        <v>365389</v>
      </c>
      <c r="M746" t="s">
        <v>480</v>
      </c>
      <c r="N746" t="s">
        <v>1594</v>
      </c>
    </row>
    <row r="747" spans="1:14" x14ac:dyDescent="0.25">
      <c r="A747" t="s">
        <v>481</v>
      </c>
      <c r="B747" t="str">
        <f t="shared" si="22"/>
        <v>p__Bacteroidota</v>
      </c>
      <c r="C747" s="1">
        <v>32</v>
      </c>
      <c r="D747" s="3">
        <v>2949448</v>
      </c>
      <c r="E747" s="3">
        <f t="shared" si="23"/>
        <v>2.9494479999999998</v>
      </c>
      <c r="F747" s="1">
        <v>5470</v>
      </c>
      <c r="G747" s="2">
        <v>92170.3</v>
      </c>
      <c r="H747" s="1">
        <v>339591</v>
      </c>
      <c r="M747" t="s">
        <v>481</v>
      </c>
      <c r="N747" t="s">
        <v>1594</v>
      </c>
    </row>
    <row r="748" spans="1:14" x14ac:dyDescent="0.25">
      <c r="A748" t="s">
        <v>482</v>
      </c>
      <c r="B748" t="str">
        <f t="shared" si="22"/>
        <v>p__Bacteroidota</v>
      </c>
      <c r="C748" s="1">
        <v>14</v>
      </c>
      <c r="D748" s="3">
        <v>2677277</v>
      </c>
      <c r="E748" s="3">
        <f t="shared" si="23"/>
        <v>2.6772770000000001</v>
      </c>
      <c r="F748" s="1">
        <v>17919</v>
      </c>
      <c r="G748" s="2">
        <v>191234.1</v>
      </c>
      <c r="H748" s="1">
        <v>611853</v>
      </c>
      <c r="M748" t="s">
        <v>482</v>
      </c>
      <c r="N748" t="s">
        <v>1594</v>
      </c>
    </row>
    <row r="749" spans="1:14" x14ac:dyDescent="0.25">
      <c r="A749" t="s">
        <v>483</v>
      </c>
      <c r="B749" t="str">
        <f t="shared" si="22"/>
        <v>p__Bacteroidota</v>
      </c>
      <c r="C749" s="1">
        <v>26</v>
      </c>
      <c r="D749" s="3">
        <v>3388814</v>
      </c>
      <c r="E749" s="3">
        <f t="shared" si="23"/>
        <v>3.388814</v>
      </c>
      <c r="F749" s="1">
        <v>13418</v>
      </c>
      <c r="G749" s="1">
        <v>130339</v>
      </c>
      <c r="H749" s="1">
        <v>461247</v>
      </c>
      <c r="M749" t="s">
        <v>483</v>
      </c>
      <c r="N749" t="s">
        <v>1594</v>
      </c>
    </row>
    <row r="750" spans="1:14" x14ac:dyDescent="0.25">
      <c r="A750" t="s">
        <v>484</v>
      </c>
      <c r="B750" t="str">
        <f t="shared" si="22"/>
        <v>p__Bacteroidota</v>
      </c>
      <c r="C750" s="1">
        <v>8</v>
      </c>
      <c r="D750" s="3">
        <v>3638038</v>
      </c>
      <c r="E750" s="3">
        <f t="shared" si="23"/>
        <v>3.6380379999999999</v>
      </c>
      <c r="F750" s="1">
        <v>45232</v>
      </c>
      <c r="G750" s="2">
        <v>454754.8</v>
      </c>
      <c r="H750" s="1">
        <v>1275209</v>
      </c>
      <c r="M750" t="s">
        <v>484</v>
      </c>
      <c r="N750" t="s">
        <v>1594</v>
      </c>
    </row>
    <row r="751" spans="1:14" x14ac:dyDescent="0.25">
      <c r="A751" t="s">
        <v>485</v>
      </c>
      <c r="B751" t="str">
        <f t="shared" si="22"/>
        <v>p__Bacteroidota</v>
      </c>
      <c r="C751" s="1">
        <v>21</v>
      </c>
      <c r="D751" s="3">
        <v>2716674</v>
      </c>
      <c r="E751" s="3">
        <f t="shared" si="23"/>
        <v>2.7166739999999998</v>
      </c>
      <c r="F751" s="1">
        <v>2336</v>
      </c>
      <c r="G751" s="2">
        <v>129365.4</v>
      </c>
      <c r="H751" s="1">
        <v>626115</v>
      </c>
      <c r="M751" t="s">
        <v>485</v>
      </c>
      <c r="N751" t="s">
        <v>1594</v>
      </c>
    </row>
    <row r="752" spans="1:14" x14ac:dyDescent="0.25">
      <c r="A752" t="s">
        <v>486</v>
      </c>
      <c r="B752" t="str">
        <f t="shared" si="22"/>
        <v>p__Bacteroidota</v>
      </c>
      <c r="C752" s="1">
        <v>40</v>
      </c>
      <c r="D752" s="3">
        <v>2990045</v>
      </c>
      <c r="E752" s="3">
        <f t="shared" si="23"/>
        <v>2.9900449999999998</v>
      </c>
      <c r="F752" s="1">
        <v>2163</v>
      </c>
      <c r="G752" s="2">
        <v>74751.100000000006</v>
      </c>
      <c r="H752" s="1">
        <v>297648</v>
      </c>
      <c r="M752" t="s">
        <v>486</v>
      </c>
      <c r="N752" t="s">
        <v>1594</v>
      </c>
    </row>
    <row r="753" spans="1:14" x14ac:dyDescent="0.25">
      <c r="A753" t="s">
        <v>487</v>
      </c>
      <c r="B753" t="str">
        <f t="shared" si="22"/>
        <v>p__Bacteroidota</v>
      </c>
      <c r="C753" s="1">
        <v>85</v>
      </c>
      <c r="D753" s="3">
        <v>1904566</v>
      </c>
      <c r="E753" s="3">
        <f t="shared" si="23"/>
        <v>1.904566</v>
      </c>
      <c r="F753" s="1">
        <v>2026</v>
      </c>
      <c r="G753" s="2">
        <v>22406.7</v>
      </c>
      <c r="H753" s="1">
        <v>124602</v>
      </c>
      <c r="M753" t="s">
        <v>487</v>
      </c>
      <c r="N753" t="s">
        <v>1594</v>
      </c>
    </row>
    <row r="754" spans="1:14" x14ac:dyDescent="0.25">
      <c r="A754" t="s">
        <v>488</v>
      </c>
      <c r="B754" t="str">
        <f t="shared" si="22"/>
        <v>p__Bacteroidota</v>
      </c>
      <c r="C754" s="1">
        <v>83</v>
      </c>
      <c r="D754" s="3">
        <v>2764802</v>
      </c>
      <c r="E754" s="3">
        <f t="shared" si="23"/>
        <v>2.764802</v>
      </c>
      <c r="F754" s="1">
        <v>2001</v>
      </c>
      <c r="G754" s="2">
        <v>33310.9</v>
      </c>
      <c r="H754" s="1">
        <v>217596</v>
      </c>
      <c r="M754" t="s">
        <v>488</v>
      </c>
      <c r="N754" t="s">
        <v>1594</v>
      </c>
    </row>
    <row r="755" spans="1:14" x14ac:dyDescent="0.25">
      <c r="A755" t="s">
        <v>489</v>
      </c>
      <c r="B755" t="str">
        <f t="shared" si="22"/>
        <v>p__Bacteroidota</v>
      </c>
      <c r="C755" s="1">
        <v>7</v>
      </c>
      <c r="D755" s="3">
        <v>2970277</v>
      </c>
      <c r="E755" s="3">
        <f t="shared" si="23"/>
        <v>2.9702769999999998</v>
      </c>
      <c r="F755" s="1">
        <v>256918</v>
      </c>
      <c r="G755" s="2">
        <v>424325.3</v>
      </c>
      <c r="H755" s="1">
        <v>840649</v>
      </c>
      <c r="M755" t="s">
        <v>489</v>
      </c>
      <c r="N755" t="s">
        <v>1594</v>
      </c>
    </row>
    <row r="756" spans="1:14" x14ac:dyDescent="0.25">
      <c r="A756" t="s">
        <v>490</v>
      </c>
      <c r="B756" t="str">
        <f t="shared" si="22"/>
        <v>p__Bacteroidota</v>
      </c>
      <c r="C756" s="1">
        <v>32</v>
      </c>
      <c r="D756" s="3">
        <v>2880779</v>
      </c>
      <c r="E756" s="3">
        <f t="shared" si="23"/>
        <v>2.880779</v>
      </c>
      <c r="F756" s="1">
        <v>3790</v>
      </c>
      <c r="G756" s="2">
        <v>90024.3</v>
      </c>
      <c r="H756" s="1">
        <v>575311</v>
      </c>
      <c r="M756" t="s">
        <v>490</v>
      </c>
      <c r="N756" t="s">
        <v>1594</v>
      </c>
    </row>
    <row r="757" spans="1:14" x14ac:dyDescent="0.25">
      <c r="A757" t="s">
        <v>491</v>
      </c>
      <c r="B757" t="str">
        <f t="shared" si="22"/>
        <v>p__Bacteroidota</v>
      </c>
      <c r="C757" s="1">
        <v>23</v>
      </c>
      <c r="D757" s="3">
        <v>2855703</v>
      </c>
      <c r="E757" s="3">
        <f t="shared" si="23"/>
        <v>2.8557030000000001</v>
      </c>
      <c r="F757" s="1">
        <v>6680</v>
      </c>
      <c r="G757" s="1">
        <v>124161</v>
      </c>
      <c r="H757" s="1">
        <v>428326</v>
      </c>
      <c r="M757" t="s">
        <v>491</v>
      </c>
      <c r="N757" t="s">
        <v>1594</v>
      </c>
    </row>
    <row r="758" spans="1:14" x14ac:dyDescent="0.25">
      <c r="A758" t="s">
        <v>492</v>
      </c>
      <c r="B758" t="str">
        <f t="shared" si="22"/>
        <v>p__Bacteroidota</v>
      </c>
      <c r="C758" s="1">
        <v>15</v>
      </c>
      <c r="D758" s="3">
        <v>2836570</v>
      </c>
      <c r="E758" s="3">
        <f t="shared" si="23"/>
        <v>2.83657</v>
      </c>
      <c r="F758" s="1">
        <v>2527</v>
      </c>
      <c r="G758" s="2">
        <v>189104.7</v>
      </c>
      <c r="H758" s="1">
        <v>617755</v>
      </c>
      <c r="M758" t="s">
        <v>492</v>
      </c>
      <c r="N758" t="s">
        <v>1594</v>
      </c>
    </row>
    <row r="759" spans="1:14" x14ac:dyDescent="0.25">
      <c r="A759" t="s">
        <v>493</v>
      </c>
      <c r="B759" t="str">
        <f t="shared" si="22"/>
        <v>p__Bacteroidota</v>
      </c>
      <c r="C759" s="1">
        <v>62</v>
      </c>
      <c r="D759" s="3">
        <v>2063246</v>
      </c>
      <c r="E759" s="3">
        <f t="shared" si="23"/>
        <v>2.0632459999999999</v>
      </c>
      <c r="F759" s="1">
        <v>2542</v>
      </c>
      <c r="G759" s="2">
        <v>33278.199999999997</v>
      </c>
      <c r="H759" s="1">
        <v>252271</v>
      </c>
      <c r="M759" t="s">
        <v>493</v>
      </c>
      <c r="N759" t="s">
        <v>1594</v>
      </c>
    </row>
    <row r="760" spans="1:14" x14ac:dyDescent="0.25">
      <c r="A760" t="s">
        <v>494</v>
      </c>
      <c r="B760" t="str">
        <f t="shared" si="22"/>
        <v>p__Bacteroidota</v>
      </c>
      <c r="C760" s="1">
        <v>25</v>
      </c>
      <c r="D760" s="3">
        <v>2253950</v>
      </c>
      <c r="E760" s="3">
        <f t="shared" si="23"/>
        <v>2.2539500000000001</v>
      </c>
      <c r="F760" s="1">
        <v>3450</v>
      </c>
      <c r="G760" s="1">
        <v>90158</v>
      </c>
      <c r="H760" s="1">
        <v>304191</v>
      </c>
      <c r="M760" t="s">
        <v>494</v>
      </c>
      <c r="N760" t="s">
        <v>1594</v>
      </c>
    </row>
    <row r="761" spans="1:14" x14ac:dyDescent="0.25">
      <c r="A761" t="s">
        <v>495</v>
      </c>
      <c r="B761" t="str">
        <f t="shared" si="22"/>
        <v>p__Bacteroidota</v>
      </c>
      <c r="C761" s="1">
        <v>61</v>
      </c>
      <c r="D761" s="3">
        <v>3686247</v>
      </c>
      <c r="E761" s="3">
        <f t="shared" si="23"/>
        <v>3.6862469999999998</v>
      </c>
      <c r="F761" s="1">
        <v>3080</v>
      </c>
      <c r="G761" s="2">
        <v>60430.3</v>
      </c>
      <c r="H761" s="1">
        <v>327228</v>
      </c>
      <c r="M761" t="s">
        <v>495</v>
      </c>
      <c r="N761" t="s">
        <v>1594</v>
      </c>
    </row>
    <row r="762" spans="1:14" x14ac:dyDescent="0.25">
      <c r="A762" t="s">
        <v>496</v>
      </c>
      <c r="B762" t="str">
        <f t="shared" si="22"/>
        <v>p__Bacteroidota</v>
      </c>
      <c r="C762" s="1">
        <v>27</v>
      </c>
      <c r="D762" s="3">
        <v>2730763</v>
      </c>
      <c r="E762" s="3">
        <f t="shared" si="23"/>
        <v>2.7307630000000001</v>
      </c>
      <c r="F762" s="1">
        <v>7556</v>
      </c>
      <c r="G762" s="2">
        <v>101139.4</v>
      </c>
      <c r="H762" s="1">
        <v>306489</v>
      </c>
      <c r="M762" t="s">
        <v>496</v>
      </c>
      <c r="N762" t="s">
        <v>1594</v>
      </c>
    </row>
    <row r="763" spans="1:14" x14ac:dyDescent="0.25">
      <c r="A763" t="s">
        <v>497</v>
      </c>
      <c r="B763" t="str">
        <f t="shared" si="22"/>
        <v>p__Bacteroidota</v>
      </c>
      <c r="C763" s="1">
        <v>49</v>
      </c>
      <c r="D763" s="3">
        <v>3561670</v>
      </c>
      <c r="E763" s="3">
        <f t="shared" si="23"/>
        <v>3.5616699999999999</v>
      </c>
      <c r="F763" s="1">
        <v>2082</v>
      </c>
      <c r="G763" s="2">
        <v>72687.100000000006</v>
      </c>
      <c r="H763" s="1">
        <v>303879</v>
      </c>
      <c r="M763" t="s">
        <v>497</v>
      </c>
      <c r="N763" t="s">
        <v>1594</v>
      </c>
    </row>
    <row r="764" spans="1:14" x14ac:dyDescent="0.25">
      <c r="A764" t="s">
        <v>498</v>
      </c>
      <c r="B764" t="str">
        <f t="shared" si="22"/>
        <v>p__Bacteroidota</v>
      </c>
      <c r="C764" s="1">
        <v>42</v>
      </c>
      <c r="D764" s="3">
        <v>3347535</v>
      </c>
      <c r="E764" s="3">
        <f t="shared" si="23"/>
        <v>3.3475350000000001</v>
      </c>
      <c r="F764" s="1">
        <v>2429</v>
      </c>
      <c r="G764" s="2">
        <v>79703.199999999997</v>
      </c>
      <c r="H764" s="1">
        <v>206458</v>
      </c>
      <c r="M764" t="s">
        <v>498</v>
      </c>
      <c r="N764" t="s">
        <v>1594</v>
      </c>
    </row>
    <row r="765" spans="1:14" x14ac:dyDescent="0.25">
      <c r="A765" t="s">
        <v>499</v>
      </c>
      <c r="B765" t="str">
        <f t="shared" si="22"/>
        <v>p__Bacteroidota</v>
      </c>
      <c r="C765" s="1">
        <v>15</v>
      </c>
      <c r="D765" s="3">
        <v>2737655</v>
      </c>
      <c r="E765" s="3">
        <f t="shared" si="23"/>
        <v>2.7376550000000002</v>
      </c>
      <c r="F765" s="1">
        <v>24627</v>
      </c>
      <c r="G765" s="2">
        <v>182510.3</v>
      </c>
      <c r="H765" s="1">
        <v>543686</v>
      </c>
      <c r="M765" t="s">
        <v>499</v>
      </c>
      <c r="N765" t="s">
        <v>1594</v>
      </c>
    </row>
    <row r="766" spans="1:14" x14ac:dyDescent="0.25">
      <c r="A766" t="s">
        <v>500</v>
      </c>
      <c r="B766" t="str">
        <f t="shared" si="22"/>
        <v>p__Bacteroidota</v>
      </c>
      <c r="C766" s="1">
        <v>27</v>
      </c>
      <c r="D766" s="3">
        <v>3121438</v>
      </c>
      <c r="E766" s="3">
        <f t="shared" si="23"/>
        <v>3.1214379999999999</v>
      </c>
      <c r="F766" s="1">
        <v>2132</v>
      </c>
      <c r="G766" s="2">
        <v>115608.8</v>
      </c>
      <c r="H766" s="1">
        <v>440698</v>
      </c>
      <c r="M766" t="s">
        <v>500</v>
      </c>
      <c r="N766" t="s">
        <v>1594</v>
      </c>
    </row>
    <row r="767" spans="1:14" x14ac:dyDescent="0.25">
      <c r="A767" t="s">
        <v>501</v>
      </c>
      <c r="B767" t="str">
        <f t="shared" si="22"/>
        <v>p__Bacteroidota</v>
      </c>
      <c r="C767" s="1">
        <v>39</v>
      </c>
      <c r="D767" s="3">
        <v>3889718</v>
      </c>
      <c r="E767" s="3">
        <f t="shared" si="23"/>
        <v>3.8897179999999998</v>
      </c>
      <c r="F767" s="1">
        <v>13855</v>
      </c>
      <c r="G767" s="2">
        <v>99736.4</v>
      </c>
      <c r="H767" s="1">
        <v>297956</v>
      </c>
      <c r="M767" t="s">
        <v>501</v>
      </c>
      <c r="N767" t="s">
        <v>1594</v>
      </c>
    </row>
    <row r="768" spans="1:14" x14ac:dyDescent="0.25">
      <c r="A768" t="s">
        <v>502</v>
      </c>
      <c r="B768" t="str">
        <f t="shared" si="22"/>
        <v>p__Bacteroidota</v>
      </c>
      <c r="C768" s="1">
        <v>10</v>
      </c>
      <c r="D768" s="3">
        <v>2871020</v>
      </c>
      <c r="E768" s="3">
        <f t="shared" si="23"/>
        <v>2.8710200000000001</v>
      </c>
      <c r="F768" s="1">
        <v>2401</v>
      </c>
      <c r="G768" s="1">
        <v>287102</v>
      </c>
      <c r="H768" s="1">
        <v>784735</v>
      </c>
      <c r="M768" t="s">
        <v>502</v>
      </c>
      <c r="N768" t="s">
        <v>1594</v>
      </c>
    </row>
    <row r="769" spans="1:14" x14ac:dyDescent="0.25">
      <c r="A769" t="s">
        <v>503</v>
      </c>
      <c r="B769" t="str">
        <f t="shared" si="22"/>
        <v>p__Bacteroidota</v>
      </c>
      <c r="C769" s="1">
        <v>20</v>
      </c>
      <c r="D769" s="3">
        <v>7016888</v>
      </c>
      <c r="E769" s="3">
        <f t="shared" si="23"/>
        <v>7.0168879999999998</v>
      </c>
      <c r="F769" s="1">
        <v>49227</v>
      </c>
      <c r="G769" s="2">
        <v>350844.4</v>
      </c>
      <c r="H769" s="1">
        <v>1127738</v>
      </c>
      <c r="M769" t="s">
        <v>503</v>
      </c>
      <c r="N769" t="s">
        <v>1594</v>
      </c>
    </row>
    <row r="770" spans="1:14" x14ac:dyDescent="0.25">
      <c r="A770" t="s">
        <v>504</v>
      </c>
      <c r="B770" t="str">
        <f t="shared" ref="B770:B833" si="24">VLOOKUP(A770,M:N,2,FALSE)</f>
        <v>p__Bacteroidota</v>
      </c>
      <c r="C770" s="1">
        <v>27</v>
      </c>
      <c r="D770" s="3">
        <v>3635290</v>
      </c>
      <c r="E770" s="3">
        <f t="shared" ref="E770:E833" si="25">D770/1000000</f>
        <v>3.6352899999999999</v>
      </c>
      <c r="F770" s="1">
        <v>2172</v>
      </c>
      <c r="G770" s="2">
        <v>134640.4</v>
      </c>
      <c r="H770" s="1">
        <v>396354</v>
      </c>
      <c r="M770" t="s">
        <v>504</v>
      </c>
      <c r="N770" t="s">
        <v>1594</v>
      </c>
    </row>
    <row r="771" spans="1:14" x14ac:dyDescent="0.25">
      <c r="A771" t="s">
        <v>505</v>
      </c>
      <c r="B771" t="str">
        <f t="shared" si="24"/>
        <v>p__Bacteroidota</v>
      </c>
      <c r="C771" s="1">
        <v>5</v>
      </c>
      <c r="D771" s="3">
        <v>4109526</v>
      </c>
      <c r="E771" s="3">
        <f t="shared" si="25"/>
        <v>4.1095259999999998</v>
      </c>
      <c r="F771" s="1">
        <v>3429</v>
      </c>
      <c r="G771" s="2">
        <v>821905.2</v>
      </c>
      <c r="H771" s="1">
        <v>2007815</v>
      </c>
      <c r="M771" t="s">
        <v>505</v>
      </c>
      <c r="N771" t="s">
        <v>1594</v>
      </c>
    </row>
    <row r="772" spans="1:14" x14ac:dyDescent="0.25">
      <c r="A772" t="s">
        <v>506</v>
      </c>
      <c r="B772" t="str">
        <f t="shared" si="24"/>
        <v>p__Bacteroidota</v>
      </c>
      <c r="C772" s="1">
        <v>23</v>
      </c>
      <c r="D772" s="3">
        <v>2622644</v>
      </c>
      <c r="E772" s="3">
        <f t="shared" si="25"/>
        <v>2.6226440000000002</v>
      </c>
      <c r="F772" s="1">
        <v>6041</v>
      </c>
      <c r="G772" s="1">
        <v>114028</v>
      </c>
      <c r="H772" s="1">
        <v>446000</v>
      </c>
      <c r="M772" t="s">
        <v>506</v>
      </c>
      <c r="N772" t="s">
        <v>1594</v>
      </c>
    </row>
    <row r="773" spans="1:14" x14ac:dyDescent="0.25">
      <c r="A773" t="s">
        <v>507</v>
      </c>
      <c r="B773" t="str">
        <f t="shared" si="24"/>
        <v>p__Bacteroidota</v>
      </c>
      <c r="C773" s="1">
        <v>49</v>
      </c>
      <c r="D773" s="3">
        <v>2324424</v>
      </c>
      <c r="E773" s="3">
        <f t="shared" si="25"/>
        <v>2.324424</v>
      </c>
      <c r="F773" s="1">
        <v>2528</v>
      </c>
      <c r="G773" s="2">
        <v>47437.2</v>
      </c>
      <c r="H773" s="1">
        <v>144422</v>
      </c>
      <c r="M773" t="s">
        <v>507</v>
      </c>
      <c r="N773" t="s">
        <v>1594</v>
      </c>
    </row>
    <row r="774" spans="1:14" x14ac:dyDescent="0.25">
      <c r="A774" t="s">
        <v>508</v>
      </c>
      <c r="B774" t="str">
        <f t="shared" si="24"/>
        <v>p__Bacteroidota</v>
      </c>
      <c r="C774" s="1">
        <v>24</v>
      </c>
      <c r="D774" s="3">
        <v>3376631</v>
      </c>
      <c r="E774" s="3">
        <f t="shared" si="25"/>
        <v>3.3766310000000002</v>
      </c>
      <c r="F774" s="1">
        <v>2131</v>
      </c>
      <c r="G774" s="1">
        <v>140693</v>
      </c>
      <c r="H774" s="1">
        <v>675485</v>
      </c>
      <c r="M774" t="s">
        <v>508</v>
      </c>
      <c r="N774" t="s">
        <v>1594</v>
      </c>
    </row>
    <row r="775" spans="1:14" x14ac:dyDescent="0.25">
      <c r="A775" t="s">
        <v>509</v>
      </c>
      <c r="B775" t="str">
        <f t="shared" si="24"/>
        <v>p__Bacteroidota</v>
      </c>
      <c r="C775" s="1">
        <v>39</v>
      </c>
      <c r="D775" s="3">
        <v>3701186</v>
      </c>
      <c r="E775" s="3">
        <f t="shared" si="25"/>
        <v>3.7011859999999999</v>
      </c>
      <c r="F775" s="1">
        <v>2007</v>
      </c>
      <c r="G775" s="2">
        <v>94902.2</v>
      </c>
      <c r="H775" s="1">
        <v>1129781</v>
      </c>
      <c r="M775" t="s">
        <v>509</v>
      </c>
      <c r="N775" t="s">
        <v>1594</v>
      </c>
    </row>
    <row r="776" spans="1:14" x14ac:dyDescent="0.25">
      <c r="A776" t="s">
        <v>510</v>
      </c>
      <c r="B776" t="str">
        <f t="shared" si="24"/>
        <v>p__Bacteroidota</v>
      </c>
      <c r="C776" s="1">
        <v>12</v>
      </c>
      <c r="D776" s="3">
        <v>3194992</v>
      </c>
      <c r="E776" s="3">
        <f t="shared" si="25"/>
        <v>3.1949920000000001</v>
      </c>
      <c r="F776" s="1">
        <v>2075</v>
      </c>
      <c r="G776" s="2">
        <v>266249.3</v>
      </c>
      <c r="H776" s="1">
        <v>3038606</v>
      </c>
      <c r="M776" t="s">
        <v>510</v>
      </c>
      <c r="N776" t="s">
        <v>1594</v>
      </c>
    </row>
    <row r="777" spans="1:14" x14ac:dyDescent="0.25">
      <c r="A777" t="s">
        <v>511</v>
      </c>
      <c r="B777" t="str">
        <f t="shared" si="24"/>
        <v>p__Bacteroidota</v>
      </c>
      <c r="C777" s="1">
        <v>89</v>
      </c>
      <c r="D777" s="3">
        <v>2459392</v>
      </c>
      <c r="E777" s="3">
        <f t="shared" si="25"/>
        <v>2.4593919999999998</v>
      </c>
      <c r="F777" s="1">
        <v>2084</v>
      </c>
      <c r="G777" s="2">
        <v>27633.599999999999</v>
      </c>
      <c r="H777" s="1">
        <v>244435</v>
      </c>
      <c r="M777" t="s">
        <v>511</v>
      </c>
      <c r="N777" t="s">
        <v>1594</v>
      </c>
    </row>
    <row r="778" spans="1:14" x14ac:dyDescent="0.25">
      <c r="A778" t="s">
        <v>512</v>
      </c>
      <c r="B778" t="str">
        <f t="shared" si="24"/>
        <v>p__Bacteroidota</v>
      </c>
      <c r="C778" s="1">
        <v>159</v>
      </c>
      <c r="D778" s="3">
        <v>2772925</v>
      </c>
      <c r="E778" s="3">
        <f t="shared" si="25"/>
        <v>2.7729249999999999</v>
      </c>
      <c r="F778" s="2">
        <v>2025</v>
      </c>
      <c r="G778" s="1">
        <v>17439.8</v>
      </c>
      <c r="H778" s="1">
        <v>92075</v>
      </c>
      <c r="M778" t="s">
        <v>512</v>
      </c>
      <c r="N778" t="s">
        <v>1594</v>
      </c>
    </row>
    <row r="779" spans="1:14" x14ac:dyDescent="0.25">
      <c r="A779" t="s">
        <v>513</v>
      </c>
      <c r="B779" t="str">
        <f t="shared" si="24"/>
        <v>p__Bacteroidota</v>
      </c>
      <c r="C779" s="1">
        <v>24</v>
      </c>
      <c r="D779" s="3">
        <v>3085988</v>
      </c>
      <c r="E779" s="3">
        <f t="shared" si="25"/>
        <v>3.085988</v>
      </c>
      <c r="F779" s="1">
        <v>14167</v>
      </c>
      <c r="G779" s="2">
        <v>128582.8</v>
      </c>
      <c r="H779" s="1">
        <v>413075</v>
      </c>
      <c r="M779" t="s">
        <v>513</v>
      </c>
      <c r="N779" t="s">
        <v>1594</v>
      </c>
    </row>
    <row r="780" spans="1:14" x14ac:dyDescent="0.25">
      <c r="A780" t="s">
        <v>514</v>
      </c>
      <c r="B780" t="str">
        <f t="shared" si="24"/>
        <v>p__Bacteroidota</v>
      </c>
      <c r="C780" s="1">
        <v>30</v>
      </c>
      <c r="D780" s="3">
        <v>4585740</v>
      </c>
      <c r="E780" s="3">
        <f t="shared" si="25"/>
        <v>4.5857400000000004</v>
      </c>
      <c r="F780" s="1">
        <v>9256</v>
      </c>
      <c r="G780" s="1">
        <v>152858</v>
      </c>
      <c r="H780" s="1">
        <v>664926</v>
      </c>
      <c r="M780" t="s">
        <v>514</v>
      </c>
      <c r="N780" t="s">
        <v>1594</v>
      </c>
    </row>
    <row r="781" spans="1:14" x14ac:dyDescent="0.25">
      <c r="A781" t="s">
        <v>515</v>
      </c>
      <c r="B781" t="str">
        <f t="shared" si="24"/>
        <v>p__Bacteroidota</v>
      </c>
      <c r="C781" s="1">
        <v>147</v>
      </c>
      <c r="D781" s="3">
        <v>2446635</v>
      </c>
      <c r="E781" s="3">
        <f t="shared" si="25"/>
        <v>2.4466350000000001</v>
      </c>
      <c r="F781" s="2">
        <v>2008</v>
      </c>
      <c r="G781" s="1">
        <v>16643.8</v>
      </c>
      <c r="H781" s="1">
        <v>299615</v>
      </c>
      <c r="M781" t="s">
        <v>515</v>
      </c>
      <c r="N781" t="s">
        <v>1594</v>
      </c>
    </row>
    <row r="782" spans="1:14" x14ac:dyDescent="0.25">
      <c r="A782" t="s">
        <v>516</v>
      </c>
      <c r="B782" t="str">
        <f t="shared" si="24"/>
        <v>p__Bacteroidota</v>
      </c>
      <c r="C782" s="1">
        <v>93</v>
      </c>
      <c r="D782" s="3">
        <v>1839386</v>
      </c>
      <c r="E782" s="3">
        <f t="shared" si="25"/>
        <v>1.839386</v>
      </c>
      <c r="F782" s="1">
        <v>2029</v>
      </c>
      <c r="G782" s="2">
        <v>19778.3</v>
      </c>
      <c r="H782" s="1">
        <v>122639</v>
      </c>
      <c r="M782" t="s">
        <v>516</v>
      </c>
      <c r="N782" t="s">
        <v>1594</v>
      </c>
    </row>
    <row r="783" spans="1:14" x14ac:dyDescent="0.25">
      <c r="A783" t="s">
        <v>517</v>
      </c>
      <c r="B783" t="str">
        <f t="shared" si="24"/>
        <v>p__Bacteroidota</v>
      </c>
      <c r="C783" s="1">
        <v>62</v>
      </c>
      <c r="D783" s="3">
        <v>2199064</v>
      </c>
      <c r="E783" s="3">
        <f t="shared" si="25"/>
        <v>2.1990639999999999</v>
      </c>
      <c r="F783" s="1">
        <v>2930</v>
      </c>
      <c r="G783" s="2">
        <v>35468.800000000003</v>
      </c>
      <c r="H783" s="1">
        <v>216942</v>
      </c>
      <c r="M783" t="s">
        <v>517</v>
      </c>
      <c r="N783" t="s">
        <v>1594</v>
      </c>
    </row>
    <row r="784" spans="1:14" x14ac:dyDescent="0.25">
      <c r="A784" t="s">
        <v>518</v>
      </c>
      <c r="B784" t="str">
        <f t="shared" si="24"/>
        <v>p__Bacteroidota</v>
      </c>
      <c r="C784" s="1">
        <v>22</v>
      </c>
      <c r="D784" s="3">
        <v>2767527</v>
      </c>
      <c r="E784" s="3">
        <f t="shared" si="25"/>
        <v>2.7675269999999998</v>
      </c>
      <c r="F784" s="1">
        <v>4995</v>
      </c>
      <c r="G784" s="2">
        <v>125796.7</v>
      </c>
      <c r="H784" s="1">
        <v>453517</v>
      </c>
      <c r="M784" t="s">
        <v>518</v>
      </c>
      <c r="N784" t="s">
        <v>1594</v>
      </c>
    </row>
    <row r="785" spans="1:14" x14ac:dyDescent="0.25">
      <c r="A785" t="s">
        <v>519</v>
      </c>
      <c r="B785" t="str">
        <f t="shared" si="24"/>
        <v>p__Bacteroidota</v>
      </c>
      <c r="C785" s="1">
        <v>51</v>
      </c>
      <c r="D785" s="3">
        <v>2259512</v>
      </c>
      <c r="E785" s="3">
        <f t="shared" si="25"/>
        <v>2.259512</v>
      </c>
      <c r="F785" s="1">
        <v>3869</v>
      </c>
      <c r="G785" s="2">
        <v>44304.2</v>
      </c>
      <c r="H785" s="1">
        <v>159892</v>
      </c>
      <c r="M785" t="s">
        <v>519</v>
      </c>
      <c r="N785" t="s">
        <v>1594</v>
      </c>
    </row>
    <row r="786" spans="1:14" x14ac:dyDescent="0.25">
      <c r="A786" t="s">
        <v>520</v>
      </c>
      <c r="B786" t="str">
        <f t="shared" si="24"/>
        <v>p__Bacteroidota</v>
      </c>
      <c r="C786" s="1">
        <v>73</v>
      </c>
      <c r="D786" s="3">
        <v>2769738</v>
      </c>
      <c r="E786" s="3">
        <f t="shared" si="25"/>
        <v>2.7697379999999998</v>
      </c>
      <c r="F786" s="1">
        <v>3736</v>
      </c>
      <c r="G786" s="2">
        <v>37941.599999999999</v>
      </c>
      <c r="H786" s="1">
        <v>156534</v>
      </c>
      <c r="M786" t="s">
        <v>520</v>
      </c>
      <c r="N786" t="s">
        <v>1594</v>
      </c>
    </row>
    <row r="787" spans="1:14" x14ac:dyDescent="0.25">
      <c r="A787" t="s">
        <v>521</v>
      </c>
      <c r="B787" t="str">
        <f t="shared" si="24"/>
        <v>p__Bacteroidota</v>
      </c>
      <c r="C787" s="1">
        <v>62</v>
      </c>
      <c r="D787" s="3">
        <v>2532962</v>
      </c>
      <c r="E787" s="3">
        <f t="shared" si="25"/>
        <v>2.5329619999999999</v>
      </c>
      <c r="F787" s="1">
        <v>2186</v>
      </c>
      <c r="G787" s="2">
        <v>40854.199999999997</v>
      </c>
      <c r="H787" s="1">
        <v>231168</v>
      </c>
      <c r="M787" t="s">
        <v>521</v>
      </c>
      <c r="N787" t="s">
        <v>1594</v>
      </c>
    </row>
    <row r="788" spans="1:14" x14ac:dyDescent="0.25">
      <c r="A788" t="s">
        <v>522</v>
      </c>
      <c r="B788" t="str">
        <f t="shared" si="24"/>
        <v>p__Bacteroidota</v>
      </c>
      <c r="C788" s="1">
        <v>12</v>
      </c>
      <c r="D788" s="3">
        <v>4310119</v>
      </c>
      <c r="E788" s="3">
        <f t="shared" si="25"/>
        <v>4.3101190000000003</v>
      </c>
      <c r="F788" s="1">
        <v>2027</v>
      </c>
      <c r="G788" s="2">
        <v>359176.6</v>
      </c>
      <c r="H788" s="1">
        <v>1161114</v>
      </c>
      <c r="M788" t="s">
        <v>522</v>
      </c>
      <c r="N788" t="s">
        <v>1594</v>
      </c>
    </row>
    <row r="789" spans="1:14" x14ac:dyDescent="0.25">
      <c r="A789" t="s">
        <v>523</v>
      </c>
      <c r="B789" t="str">
        <f t="shared" si="24"/>
        <v>p__Bacteroidota</v>
      </c>
      <c r="C789" s="1">
        <v>18</v>
      </c>
      <c r="D789" s="3">
        <v>4338154</v>
      </c>
      <c r="E789" s="3">
        <f t="shared" si="25"/>
        <v>4.3381540000000003</v>
      </c>
      <c r="F789" s="1">
        <v>3318</v>
      </c>
      <c r="G789" s="2">
        <v>241008.6</v>
      </c>
      <c r="H789" s="1">
        <v>719544</v>
      </c>
      <c r="M789" t="s">
        <v>523</v>
      </c>
      <c r="N789" t="s">
        <v>1594</v>
      </c>
    </row>
    <row r="790" spans="1:14" x14ac:dyDescent="0.25">
      <c r="A790" t="s">
        <v>524</v>
      </c>
      <c r="B790" t="str">
        <f t="shared" si="24"/>
        <v>p__Bacteroidota</v>
      </c>
      <c r="C790" s="1">
        <v>164</v>
      </c>
      <c r="D790" s="3">
        <v>3141852</v>
      </c>
      <c r="E790" s="3">
        <f t="shared" si="25"/>
        <v>3.1418520000000001</v>
      </c>
      <c r="F790" s="2">
        <v>2035</v>
      </c>
      <c r="G790" s="1">
        <v>19157.599999999999</v>
      </c>
      <c r="H790" s="1">
        <v>180595</v>
      </c>
      <c r="M790" t="s">
        <v>524</v>
      </c>
      <c r="N790" t="s">
        <v>1594</v>
      </c>
    </row>
    <row r="791" spans="1:14" x14ac:dyDescent="0.25">
      <c r="A791" t="s">
        <v>525</v>
      </c>
      <c r="B791" t="str">
        <f t="shared" si="24"/>
        <v>p__Bacteroidota</v>
      </c>
      <c r="C791" s="1">
        <v>50</v>
      </c>
      <c r="D791" s="3">
        <v>2316099</v>
      </c>
      <c r="E791" s="3">
        <f t="shared" si="25"/>
        <v>2.3160989999999999</v>
      </c>
      <c r="F791" s="1">
        <v>2887</v>
      </c>
      <c r="G791" s="1">
        <v>46322</v>
      </c>
      <c r="H791" s="1">
        <v>173565</v>
      </c>
      <c r="M791" t="s">
        <v>525</v>
      </c>
      <c r="N791" t="s">
        <v>1594</v>
      </c>
    </row>
    <row r="792" spans="1:14" x14ac:dyDescent="0.25">
      <c r="A792" t="s">
        <v>526</v>
      </c>
      <c r="B792" t="str">
        <f t="shared" si="24"/>
        <v>p__Bacteroidota</v>
      </c>
      <c r="C792" s="1">
        <v>15</v>
      </c>
      <c r="D792" s="3">
        <v>2483934</v>
      </c>
      <c r="E792" s="3">
        <f t="shared" si="25"/>
        <v>2.4839340000000001</v>
      </c>
      <c r="F792" s="1">
        <v>34775</v>
      </c>
      <c r="G792" s="2">
        <v>165595.6</v>
      </c>
      <c r="H792" s="1">
        <v>567518</v>
      </c>
      <c r="M792" t="s">
        <v>526</v>
      </c>
      <c r="N792" t="s">
        <v>1594</v>
      </c>
    </row>
    <row r="793" spans="1:14" x14ac:dyDescent="0.25">
      <c r="A793" t="s">
        <v>527</v>
      </c>
      <c r="B793" t="str">
        <f t="shared" si="24"/>
        <v>p__Bacteroidota</v>
      </c>
      <c r="C793" s="1">
        <v>32</v>
      </c>
      <c r="D793" s="3">
        <v>1959950</v>
      </c>
      <c r="E793" s="3">
        <f t="shared" si="25"/>
        <v>1.9599500000000001</v>
      </c>
      <c r="F793" s="1">
        <v>2154</v>
      </c>
      <c r="G793" s="2">
        <v>61248.4</v>
      </c>
      <c r="H793" s="1">
        <v>218117</v>
      </c>
      <c r="M793" t="s">
        <v>527</v>
      </c>
      <c r="N793" t="s">
        <v>1594</v>
      </c>
    </row>
    <row r="794" spans="1:14" x14ac:dyDescent="0.25">
      <c r="A794" t="s">
        <v>528</v>
      </c>
      <c r="B794" t="str">
        <f t="shared" si="24"/>
        <v>p__Bacteroidota</v>
      </c>
      <c r="C794" s="1">
        <v>14</v>
      </c>
      <c r="D794" s="3">
        <v>2972932</v>
      </c>
      <c r="E794" s="3">
        <f t="shared" si="25"/>
        <v>2.9729320000000001</v>
      </c>
      <c r="F794" s="1">
        <v>19925</v>
      </c>
      <c r="G794" s="2">
        <v>212352.3</v>
      </c>
      <c r="H794" s="1">
        <v>511239</v>
      </c>
      <c r="M794" t="s">
        <v>528</v>
      </c>
      <c r="N794" t="s">
        <v>1594</v>
      </c>
    </row>
    <row r="795" spans="1:14" x14ac:dyDescent="0.25">
      <c r="A795" t="s">
        <v>529</v>
      </c>
      <c r="B795" t="str">
        <f t="shared" si="24"/>
        <v>p__Bacteroidota</v>
      </c>
      <c r="C795" s="1">
        <v>17</v>
      </c>
      <c r="D795" s="3">
        <v>2705930</v>
      </c>
      <c r="E795" s="3">
        <f t="shared" si="25"/>
        <v>2.7059299999999999</v>
      </c>
      <c r="F795" s="1">
        <v>7604</v>
      </c>
      <c r="G795" s="2">
        <v>159172.4</v>
      </c>
      <c r="H795" s="1">
        <v>952807</v>
      </c>
      <c r="M795" t="s">
        <v>529</v>
      </c>
      <c r="N795" t="s">
        <v>1594</v>
      </c>
    </row>
    <row r="796" spans="1:14" x14ac:dyDescent="0.25">
      <c r="A796" t="s">
        <v>530</v>
      </c>
      <c r="B796" t="str">
        <f t="shared" si="24"/>
        <v>p__Bacteroidota</v>
      </c>
      <c r="C796" s="1">
        <v>24</v>
      </c>
      <c r="D796" s="3">
        <v>1185228</v>
      </c>
      <c r="E796" s="3">
        <f t="shared" si="25"/>
        <v>1.1852279999999999</v>
      </c>
      <c r="F796" s="1">
        <v>2911</v>
      </c>
      <c r="G796" s="2">
        <v>49384.5</v>
      </c>
      <c r="H796" s="1">
        <v>125070</v>
      </c>
      <c r="M796" t="s">
        <v>530</v>
      </c>
      <c r="N796" t="s">
        <v>1594</v>
      </c>
    </row>
    <row r="797" spans="1:14" x14ac:dyDescent="0.25">
      <c r="A797" t="s">
        <v>531</v>
      </c>
      <c r="B797" t="str">
        <f t="shared" si="24"/>
        <v>p__Bacteroidota</v>
      </c>
      <c r="C797" s="1">
        <v>38</v>
      </c>
      <c r="D797" s="3">
        <v>1702935</v>
      </c>
      <c r="E797" s="3">
        <f t="shared" si="25"/>
        <v>1.7029350000000001</v>
      </c>
      <c r="F797" s="1">
        <v>2117</v>
      </c>
      <c r="G797" s="2">
        <v>44814.1</v>
      </c>
      <c r="H797" s="1">
        <v>194754</v>
      </c>
      <c r="M797" t="s">
        <v>531</v>
      </c>
      <c r="N797" t="s">
        <v>1594</v>
      </c>
    </row>
    <row r="798" spans="1:14" x14ac:dyDescent="0.25">
      <c r="A798" t="s">
        <v>532</v>
      </c>
      <c r="B798" t="str">
        <f t="shared" si="24"/>
        <v>p__Bacteroidota</v>
      </c>
      <c r="C798" s="1">
        <v>73</v>
      </c>
      <c r="D798" s="3">
        <v>1629261</v>
      </c>
      <c r="E798" s="3">
        <f t="shared" si="25"/>
        <v>1.6292610000000001</v>
      </c>
      <c r="F798" s="1">
        <v>2012</v>
      </c>
      <c r="G798" s="2">
        <v>22318.6</v>
      </c>
      <c r="H798" s="1">
        <v>95464</v>
      </c>
      <c r="M798" t="s">
        <v>532</v>
      </c>
      <c r="N798" t="s">
        <v>1594</v>
      </c>
    </row>
    <row r="799" spans="1:14" x14ac:dyDescent="0.25">
      <c r="A799" t="s">
        <v>533</v>
      </c>
      <c r="B799" t="str">
        <f t="shared" si="24"/>
        <v>p__Bacteroidota</v>
      </c>
      <c r="C799" s="1">
        <v>35</v>
      </c>
      <c r="D799" s="3">
        <v>1837389</v>
      </c>
      <c r="E799" s="3">
        <f t="shared" si="25"/>
        <v>1.8373889999999999</v>
      </c>
      <c r="F799" s="1">
        <v>5377</v>
      </c>
      <c r="G799" s="2">
        <v>52496.800000000003</v>
      </c>
      <c r="H799" s="1">
        <v>136251</v>
      </c>
      <c r="M799" t="s">
        <v>533</v>
      </c>
      <c r="N799" t="s">
        <v>1594</v>
      </c>
    </row>
    <row r="800" spans="1:14" x14ac:dyDescent="0.25">
      <c r="A800" t="s">
        <v>534</v>
      </c>
      <c r="B800" t="str">
        <f t="shared" si="24"/>
        <v>p__Bacteroidota</v>
      </c>
      <c r="C800" s="1">
        <v>26</v>
      </c>
      <c r="D800" s="3">
        <v>1645374</v>
      </c>
      <c r="E800" s="3">
        <f t="shared" si="25"/>
        <v>1.6453739999999999</v>
      </c>
      <c r="F800" s="1">
        <v>9516</v>
      </c>
      <c r="G800" s="2">
        <v>63283.6</v>
      </c>
      <c r="H800" s="1">
        <v>226775</v>
      </c>
      <c r="M800" t="s">
        <v>534</v>
      </c>
      <c r="N800" t="s">
        <v>1594</v>
      </c>
    </row>
    <row r="801" spans="1:14" x14ac:dyDescent="0.25">
      <c r="A801" t="s">
        <v>535</v>
      </c>
      <c r="B801" t="str">
        <f t="shared" si="24"/>
        <v>p__Bacteroidota</v>
      </c>
      <c r="C801" s="1">
        <v>16</v>
      </c>
      <c r="D801" s="3">
        <v>1980493</v>
      </c>
      <c r="E801" s="3">
        <f t="shared" si="25"/>
        <v>1.9804930000000001</v>
      </c>
      <c r="F801" s="1">
        <v>17302</v>
      </c>
      <c r="G801" s="2">
        <v>123780.8</v>
      </c>
      <c r="H801" s="1">
        <v>394803</v>
      </c>
      <c r="M801" t="s">
        <v>535</v>
      </c>
      <c r="N801" t="s">
        <v>1594</v>
      </c>
    </row>
    <row r="802" spans="1:14" x14ac:dyDescent="0.25">
      <c r="A802" t="s">
        <v>536</v>
      </c>
      <c r="B802" t="str">
        <f t="shared" si="24"/>
        <v>p__Bacteroidota</v>
      </c>
      <c r="C802" s="1">
        <v>42</v>
      </c>
      <c r="D802" s="3">
        <v>2081294</v>
      </c>
      <c r="E802" s="3">
        <f t="shared" si="25"/>
        <v>2.0812940000000002</v>
      </c>
      <c r="F802" s="1">
        <v>2145</v>
      </c>
      <c r="G802" s="2">
        <v>49554.6</v>
      </c>
      <c r="H802" s="1">
        <v>253211</v>
      </c>
      <c r="M802" t="s">
        <v>536</v>
      </c>
      <c r="N802" t="s">
        <v>1594</v>
      </c>
    </row>
    <row r="803" spans="1:14" x14ac:dyDescent="0.25">
      <c r="A803" t="s">
        <v>537</v>
      </c>
      <c r="B803" t="str">
        <f t="shared" si="24"/>
        <v>p__Bacteroidota</v>
      </c>
      <c r="C803" s="1">
        <v>11</v>
      </c>
      <c r="D803" s="3">
        <v>2146934</v>
      </c>
      <c r="E803" s="3">
        <f t="shared" si="25"/>
        <v>2.1469339999999999</v>
      </c>
      <c r="F803" s="1">
        <v>16040</v>
      </c>
      <c r="G803" s="2">
        <v>195175.8</v>
      </c>
      <c r="H803" s="1">
        <v>924392</v>
      </c>
      <c r="M803" t="s">
        <v>537</v>
      </c>
      <c r="N803" t="s">
        <v>1594</v>
      </c>
    </row>
    <row r="804" spans="1:14" x14ac:dyDescent="0.25">
      <c r="A804" t="s">
        <v>538</v>
      </c>
      <c r="B804" t="str">
        <f t="shared" si="24"/>
        <v>p__Bacteroidota</v>
      </c>
      <c r="C804" s="1">
        <v>27</v>
      </c>
      <c r="D804" s="3">
        <v>1894799</v>
      </c>
      <c r="E804" s="3">
        <f t="shared" si="25"/>
        <v>1.8947989999999999</v>
      </c>
      <c r="F804" s="1">
        <v>2187</v>
      </c>
      <c r="G804" s="2">
        <v>70177.7</v>
      </c>
      <c r="H804" s="1">
        <v>258918</v>
      </c>
      <c r="M804" t="s">
        <v>538</v>
      </c>
      <c r="N804" t="s">
        <v>1594</v>
      </c>
    </row>
    <row r="805" spans="1:14" x14ac:dyDescent="0.25">
      <c r="A805" t="s">
        <v>539</v>
      </c>
      <c r="B805" t="str">
        <f t="shared" si="24"/>
        <v>p__Bacteroidota</v>
      </c>
      <c r="C805" s="1">
        <v>20</v>
      </c>
      <c r="D805" s="3">
        <v>2311365</v>
      </c>
      <c r="E805" s="3">
        <f t="shared" si="25"/>
        <v>2.3113649999999999</v>
      </c>
      <c r="F805" s="1">
        <v>3824</v>
      </c>
      <c r="G805" s="2">
        <v>115568.3</v>
      </c>
      <c r="H805" s="1">
        <v>431756</v>
      </c>
      <c r="M805" t="s">
        <v>539</v>
      </c>
      <c r="N805" t="s">
        <v>1594</v>
      </c>
    </row>
    <row r="806" spans="1:14" x14ac:dyDescent="0.25">
      <c r="A806" t="s">
        <v>540</v>
      </c>
      <c r="B806" t="str">
        <f t="shared" si="24"/>
        <v>p__Bacteroidota</v>
      </c>
      <c r="C806" s="1">
        <v>33</v>
      </c>
      <c r="D806" s="3">
        <v>1972581</v>
      </c>
      <c r="E806" s="3">
        <f t="shared" si="25"/>
        <v>1.9725809999999999</v>
      </c>
      <c r="F806" s="1">
        <v>2032</v>
      </c>
      <c r="G806" s="2">
        <v>59775.199999999997</v>
      </c>
      <c r="H806" s="1">
        <v>370724</v>
      </c>
      <c r="M806" t="s">
        <v>540</v>
      </c>
      <c r="N806" t="s">
        <v>1594</v>
      </c>
    </row>
    <row r="807" spans="1:14" x14ac:dyDescent="0.25">
      <c r="A807" t="s">
        <v>541</v>
      </c>
      <c r="B807" t="str">
        <f t="shared" si="24"/>
        <v>p__Bacteroidota</v>
      </c>
      <c r="C807" s="1">
        <v>13</v>
      </c>
      <c r="D807" s="3">
        <v>2052349</v>
      </c>
      <c r="E807" s="3">
        <f t="shared" si="25"/>
        <v>2.052349</v>
      </c>
      <c r="F807" s="1">
        <v>3048</v>
      </c>
      <c r="G807" s="1">
        <v>157873</v>
      </c>
      <c r="H807" s="1">
        <v>418652</v>
      </c>
      <c r="M807" t="s">
        <v>541</v>
      </c>
      <c r="N807" t="s">
        <v>1594</v>
      </c>
    </row>
    <row r="808" spans="1:14" x14ac:dyDescent="0.25">
      <c r="A808" t="s">
        <v>542</v>
      </c>
      <c r="B808" t="str">
        <f t="shared" si="24"/>
        <v>p__Bacteroidota</v>
      </c>
      <c r="C808" s="1">
        <v>41</v>
      </c>
      <c r="D808" s="3">
        <v>1869718</v>
      </c>
      <c r="E808" s="3">
        <f t="shared" si="25"/>
        <v>1.869718</v>
      </c>
      <c r="F808" s="1">
        <v>9378</v>
      </c>
      <c r="G808" s="2">
        <v>45602.9</v>
      </c>
      <c r="H808" s="1">
        <v>113373</v>
      </c>
      <c r="M808" t="s">
        <v>542</v>
      </c>
      <c r="N808" t="s">
        <v>1594</v>
      </c>
    </row>
    <row r="809" spans="1:14" x14ac:dyDescent="0.25">
      <c r="A809" t="s">
        <v>543</v>
      </c>
      <c r="B809" t="str">
        <f t="shared" si="24"/>
        <v>p__Bacteroidota</v>
      </c>
      <c r="C809" s="1">
        <v>27</v>
      </c>
      <c r="D809" s="3">
        <v>1335824</v>
      </c>
      <c r="E809" s="3">
        <f t="shared" si="25"/>
        <v>1.3358239999999999</v>
      </c>
      <c r="F809" s="1">
        <v>3134</v>
      </c>
      <c r="G809" s="1">
        <v>49475</v>
      </c>
      <c r="H809" s="1">
        <v>236123</v>
      </c>
      <c r="M809" t="s">
        <v>543</v>
      </c>
      <c r="N809" t="s">
        <v>1594</v>
      </c>
    </row>
    <row r="810" spans="1:14" x14ac:dyDescent="0.25">
      <c r="A810" t="s">
        <v>544</v>
      </c>
      <c r="B810" t="str">
        <f t="shared" si="24"/>
        <v>p__Bacteroidota</v>
      </c>
      <c r="C810" s="1">
        <v>28</v>
      </c>
      <c r="D810" s="3">
        <v>1646767</v>
      </c>
      <c r="E810" s="3">
        <f t="shared" si="25"/>
        <v>1.6467670000000001</v>
      </c>
      <c r="F810" s="1">
        <v>6629</v>
      </c>
      <c r="G810" s="2">
        <v>58813.1</v>
      </c>
      <c r="H810" s="1">
        <v>132397</v>
      </c>
      <c r="M810" t="s">
        <v>544</v>
      </c>
      <c r="N810" t="s">
        <v>1594</v>
      </c>
    </row>
    <row r="811" spans="1:14" x14ac:dyDescent="0.25">
      <c r="A811" t="s">
        <v>545</v>
      </c>
      <c r="B811" t="str">
        <f t="shared" si="24"/>
        <v>p__Bacteroidota</v>
      </c>
      <c r="C811" s="1">
        <v>56</v>
      </c>
      <c r="D811" s="3">
        <v>1910496</v>
      </c>
      <c r="E811" s="3">
        <f t="shared" si="25"/>
        <v>1.910496</v>
      </c>
      <c r="F811" s="1">
        <v>2208</v>
      </c>
      <c r="G811" s="1">
        <v>34116</v>
      </c>
      <c r="H811" s="1">
        <v>182265</v>
      </c>
      <c r="M811" t="s">
        <v>545</v>
      </c>
      <c r="N811" t="s">
        <v>1594</v>
      </c>
    </row>
    <row r="812" spans="1:14" x14ac:dyDescent="0.25">
      <c r="A812" t="s">
        <v>546</v>
      </c>
      <c r="B812" t="str">
        <f t="shared" si="24"/>
        <v>p__Bacteroidota</v>
      </c>
      <c r="C812" s="1">
        <v>34</v>
      </c>
      <c r="D812" s="3">
        <v>1575487</v>
      </c>
      <c r="E812" s="3">
        <f t="shared" si="25"/>
        <v>1.5754870000000001</v>
      </c>
      <c r="F812" s="1">
        <v>3813</v>
      </c>
      <c r="G812" s="2">
        <v>46337.9</v>
      </c>
      <c r="H812" s="1">
        <v>157228</v>
      </c>
      <c r="M812" t="s">
        <v>546</v>
      </c>
      <c r="N812" t="s">
        <v>1594</v>
      </c>
    </row>
    <row r="813" spans="1:14" x14ac:dyDescent="0.25">
      <c r="A813" t="s">
        <v>547</v>
      </c>
      <c r="B813" t="str">
        <f t="shared" si="24"/>
        <v>p__Bacteroidota</v>
      </c>
      <c r="C813" s="1">
        <v>14</v>
      </c>
      <c r="D813" s="3">
        <v>2745558</v>
      </c>
      <c r="E813" s="3">
        <f t="shared" si="25"/>
        <v>2.7455579999999999</v>
      </c>
      <c r="F813" s="1">
        <v>16334</v>
      </c>
      <c r="G813" s="2">
        <v>196111.3</v>
      </c>
      <c r="H813" s="1">
        <v>725693</v>
      </c>
      <c r="M813" t="s">
        <v>547</v>
      </c>
      <c r="N813" t="s">
        <v>1594</v>
      </c>
    </row>
    <row r="814" spans="1:14" x14ac:dyDescent="0.25">
      <c r="A814" t="s">
        <v>548</v>
      </c>
      <c r="B814" t="str">
        <f t="shared" si="24"/>
        <v>p__Bacteroidota</v>
      </c>
      <c r="C814" s="1">
        <v>178</v>
      </c>
      <c r="D814" s="3">
        <v>1708241</v>
      </c>
      <c r="E814" s="3">
        <f t="shared" si="25"/>
        <v>1.7082409999999999</v>
      </c>
      <c r="F814" s="2">
        <v>2002</v>
      </c>
      <c r="G814" s="1">
        <v>9596.9</v>
      </c>
      <c r="H814" s="1">
        <v>123620</v>
      </c>
      <c r="M814" t="s">
        <v>548</v>
      </c>
      <c r="N814" t="s">
        <v>1594</v>
      </c>
    </row>
    <row r="815" spans="1:14" x14ac:dyDescent="0.25">
      <c r="A815" t="s">
        <v>549</v>
      </c>
      <c r="B815" t="str">
        <f t="shared" si="24"/>
        <v>p__Bacteroidota</v>
      </c>
      <c r="C815" s="1">
        <v>29</v>
      </c>
      <c r="D815" s="3">
        <v>1796587</v>
      </c>
      <c r="E815" s="3">
        <f t="shared" si="25"/>
        <v>1.7965869999999999</v>
      </c>
      <c r="F815" s="1">
        <v>2124</v>
      </c>
      <c r="G815" s="2">
        <v>61951.3</v>
      </c>
      <c r="H815" s="1">
        <v>456353</v>
      </c>
      <c r="M815" t="s">
        <v>549</v>
      </c>
      <c r="N815" t="s">
        <v>1594</v>
      </c>
    </row>
    <row r="816" spans="1:14" x14ac:dyDescent="0.25">
      <c r="A816" t="s">
        <v>550</v>
      </c>
      <c r="B816" t="str">
        <f t="shared" si="24"/>
        <v>p__Bacteroidota</v>
      </c>
      <c r="C816" s="1">
        <v>29</v>
      </c>
      <c r="D816" s="3">
        <v>2010235</v>
      </c>
      <c r="E816" s="3">
        <f t="shared" si="25"/>
        <v>2.0102350000000002</v>
      </c>
      <c r="F816" s="1">
        <v>10974</v>
      </c>
      <c r="G816" s="2">
        <v>69318.399999999994</v>
      </c>
      <c r="H816" s="1">
        <v>257961</v>
      </c>
      <c r="M816" t="s">
        <v>550</v>
      </c>
      <c r="N816" t="s">
        <v>1594</v>
      </c>
    </row>
    <row r="817" spans="1:14" x14ac:dyDescent="0.25">
      <c r="A817" t="s">
        <v>551</v>
      </c>
      <c r="B817" t="str">
        <f t="shared" si="24"/>
        <v>p__Bacteroidota</v>
      </c>
      <c r="C817" s="1">
        <v>7</v>
      </c>
      <c r="D817" s="3">
        <v>1855299</v>
      </c>
      <c r="E817" s="3">
        <f t="shared" si="25"/>
        <v>1.855299</v>
      </c>
      <c r="F817" s="1">
        <v>88383</v>
      </c>
      <c r="G817" s="2">
        <v>265042.7</v>
      </c>
      <c r="H817" s="1">
        <v>626116</v>
      </c>
      <c r="M817" t="s">
        <v>551</v>
      </c>
      <c r="N817" t="s">
        <v>1594</v>
      </c>
    </row>
    <row r="818" spans="1:14" x14ac:dyDescent="0.25">
      <c r="A818" t="s">
        <v>552</v>
      </c>
      <c r="B818" t="str">
        <f t="shared" si="24"/>
        <v>p__Bacteroidota</v>
      </c>
      <c r="C818" s="1">
        <v>18</v>
      </c>
      <c r="D818" s="3">
        <v>2516961</v>
      </c>
      <c r="E818" s="3">
        <f t="shared" si="25"/>
        <v>2.5169609999999998</v>
      </c>
      <c r="F818" s="1">
        <v>6653</v>
      </c>
      <c r="G818" s="2">
        <v>139831.20000000001</v>
      </c>
      <c r="H818" s="1">
        <v>470582</v>
      </c>
      <c r="M818" t="s">
        <v>552</v>
      </c>
      <c r="N818" t="s">
        <v>1594</v>
      </c>
    </row>
    <row r="819" spans="1:14" x14ac:dyDescent="0.25">
      <c r="A819" t="s">
        <v>553</v>
      </c>
      <c r="B819" t="str">
        <f t="shared" si="24"/>
        <v>p__Bacteroidota</v>
      </c>
      <c r="C819" s="1">
        <v>26</v>
      </c>
      <c r="D819" s="3">
        <v>2085236</v>
      </c>
      <c r="E819" s="3">
        <f t="shared" si="25"/>
        <v>2.0852360000000001</v>
      </c>
      <c r="F819" s="1">
        <v>5380</v>
      </c>
      <c r="G819" s="2">
        <v>80201.399999999994</v>
      </c>
      <c r="H819" s="1">
        <v>385137</v>
      </c>
      <c r="M819" t="s">
        <v>553</v>
      </c>
      <c r="N819" t="s">
        <v>1594</v>
      </c>
    </row>
    <row r="820" spans="1:14" x14ac:dyDescent="0.25">
      <c r="A820" t="s">
        <v>554</v>
      </c>
      <c r="B820" t="str">
        <f t="shared" si="24"/>
        <v>p__Bacteroidota</v>
      </c>
      <c r="C820" s="1">
        <v>78</v>
      </c>
      <c r="D820" s="3">
        <v>2633489</v>
      </c>
      <c r="E820" s="3">
        <f t="shared" si="25"/>
        <v>2.633489</v>
      </c>
      <c r="F820" s="1">
        <v>2955</v>
      </c>
      <c r="G820" s="2">
        <v>33762.699999999997</v>
      </c>
      <c r="H820" s="1">
        <v>141558</v>
      </c>
      <c r="M820" t="s">
        <v>554</v>
      </c>
      <c r="N820" t="s">
        <v>1594</v>
      </c>
    </row>
    <row r="821" spans="1:14" x14ac:dyDescent="0.25">
      <c r="A821" t="s">
        <v>555</v>
      </c>
      <c r="B821" t="str">
        <f t="shared" si="24"/>
        <v>p__Bacteroidota</v>
      </c>
      <c r="C821" s="1">
        <v>42</v>
      </c>
      <c r="D821" s="3">
        <v>3005097</v>
      </c>
      <c r="E821" s="3">
        <f t="shared" si="25"/>
        <v>3.0050970000000001</v>
      </c>
      <c r="F821" s="1">
        <v>2755</v>
      </c>
      <c r="G821" s="2">
        <v>71549.899999999994</v>
      </c>
      <c r="H821" s="1">
        <v>325632</v>
      </c>
      <c r="M821" t="s">
        <v>555</v>
      </c>
      <c r="N821" t="s">
        <v>1594</v>
      </c>
    </row>
    <row r="822" spans="1:14" x14ac:dyDescent="0.25">
      <c r="A822" t="s">
        <v>556</v>
      </c>
      <c r="B822" t="str">
        <f t="shared" si="24"/>
        <v>p__Bacteroidota</v>
      </c>
      <c r="C822" s="1">
        <v>16</v>
      </c>
      <c r="D822" s="3">
        <v>2901147</v>
      </c>
      <c r="E822" s="3">
        <f t="shared" si="25"/>
        <v>2.9011469999999999</v>
      </c>
      <c r="F822" s="1">
        <v>32454</v>
      </c>
      <c r="G822" s="2">
        <v>181321.7</v>
      </c>
      <c r="H822" s="1">
        <v>494436</v>
      </c>
      <c r="M822" t="s">
        <v>556</v>
      </c>
      <c r="N822" t="s">
        <v>1594</v>
      </c>
    </row>
    <row r="823" spans="1:14" x14ac:dyDescent="0.25">
      <c r="A823" t="s">
        <v>557</v>
      </c>
      <c r="B823" t="str">
        <f t="shared" si="24"/>
        <v>p__Bacteroidota</v>
      </c>
      <c r="C823" s="1">
        <v>46</v>
      </c>
      <c r="D823" s="3">
        <v>2413201</v>
      </c>
      <c r="E823" s="3">
        <f t="shared" si="25"/>
        <v>2.4132009999999999</v>
      </c>
      <c r="F823" s="1">
        <v>2415</v>
      </c>
      <c r="G823" s="2">
        <v>52460.9</v>
      </c>
      <c r="H823" s="1">
        <v>226514</v>
      </c>
      <c r="M823" t="s">
        <v>557</v>
      </c>
      <c r="N823" t="s">
        <v>1594</v>
      </c>
    </row>
    <row r="824" spans="1:14" x14ac:dyDescent="0.25">
      <c r="A824" t="s">
        <v>558</v>
      </c>
      <c r="B824" t="str">
        <f t="shared" si="24"/>
        <v>p__Bacteroidota</v>
      </c>
      <c r="C824" s="1">
        <v>83</v>
      </c>
      <c r="D824" s="3">
        <v>2096805</v>
      </c>
      <c r="E824" s="3">
        <f t="shared" si="25"/>
        <v>2.0968049999999998</v>
      </c>
      <c r="F824" s="1">
        <v>2719</v>
      </c>
      <c r="G824" s="2">
        <v>25262.7</v>
      </c>
      <c r="H824" s="1">
        <v>88105</v>
      </c>
      <c r="M824" t="s">
        <v>558</v>
      </c>
      <c r="N824" t="s">
        <v>1594</v>
      </c>
    </row>
    <row r="825" spans="1:14" x14ac:dyDescent="0.25">
      <c r="A825" t="s">
        <v>559</v>
      </c>
      <c r="B825" t="str">
        <f t="shared" si="24"/>
        <v>p__Bacteroidota</v>
      </c>
      <c r="C825" s="1">
        <v>18</v>
      </c>
      <c r="D825" s="3">
        <v>2467133</v>
      </c>
      <c r="E825" s="3">
        <f t="shared" si="25"/>
        <v>2.467133</v>
      </c>
      <c r="F825" s="1">
        <v>5445</v>
      </c>
      <c r="G825" s="2">
        <v>137062.9</v>
      </c>
      <c r="H825" s="1">
        <v>337947</v>
      </c>
      <c r="M825" t="s">
        <v>559</v>
      </c>
      <c r="N825" t="s">
        <v>1594</v>
      </c>
    </row>
    <row r="826" spans="1:14" x14ac:dyDescent="0.25">
      <c r="A826" t="s">
        <v>560</v>
      </c>
      <c r="B826" t="str">
        <f t="shared" si="24"/>
        <v>p__Bacteroidota</v>
      </c>
      <c r="C826" s="1">
        <v>46</v>
      </c>
      <c r="D826" s="3">
        <v>3026767</v>
      </c>
      <c r="E826" s="3">
        <f t="shared" si="25"/>
        <v>3.026767</v>
      </c>
      <c r="F826" s="1">
        <v>3747</v>
      </c>
      <c r="G826" s="2">
        <v>65799.3</v>
      </c>
      <c r="H826" s="1">
        <v>259331</v>
      </c>
      <c r="M826" t="s">
        <v>560</v>
      </c>
      <c r="N826" t="s">
        <v>1594</v>
      </c>
    </row>
    <row r="827" spans="1:14" x14ac:dyDescent="0.25">
      <c r="A827" t="s">
        <v>561</v>
      </c>
      <c r="B827" t="str">
        <f t="shared" si="24"/>
        <v>p__Bacteroidota</v>
      </c>
      <c r="C827" s="1">
        <v>28</v>
      </c>
      <c r="D827" s="3">
        <v>3051502</v>
      </c>
      <c r="E827" s="3">
        <f t="shared" si="25"/>
        <v>3.0515020000000002</v>
      </c>
      <c r="F827" s="1">
        <v>3506</v>
      </c>
      <c r="G827" s="2">
        <v>108982.2</v>
      </c>
      <c r="H827" s="1">
        <v>384086</v>
      </c>
      <c r="M827" t="s">
        <v>561</v>
      </c>
      <c r="N827" t="s">
        <v>1594</v>
      </c>
    </row>
    <row r="828" spans="1:14" x14ac:dyDescent="0.25">
      <c r="A828" t="s">
        <v>562</v>
      </c>
      <c r="B828" t="str">
        <f t="shared" si="24"/>
        <v>p__Bacteroidota</v>
      </c>
      <c r="C828" s="1">
        <v>39</v>
      </c>
      <c r="D828" s="3">
        <v>3161812</v>
      </c>
      <c r="E828" s="3">
        <f t="shared" si="25"/>
        <v>3.1618119999999998</v>
      </c>
      <c r="F828" s="1">
        <v>10357</v>
      </c>
      <c r="G828" s="2">
        <v>81072.100000000006</v>
      </c>
      <c r="H828" s="1">
        <v>334006</v>
      </c>
      <c r="M828" t="s">
        <v>562</v>
      </c>
      <c r="N828" t="s">
        <v>1594</v>
      </c>
    </row>
    <row r="829" spans="1:14" x14ac:dyDescent="0.25">
      <c r="A829" t="s">
        <v>563</v>
      </c>
      <c r="B829" t="str">
        <f t="shared" si="24"/>
        <v>p__Bacteroidota</v>
      </c>
      <c r="C829" s="1">
        <v>25</v>
      </c>
      <c r="D829" s="3">
        <v>3158670</v>
      </c>
      <c r="E829" s="3">
        <f t="shared" si="25"/>
        <v>3.1586699999999999</v>
      </c>
      <c r="F829" s="1">
        <v>17137</v>
      </c>
      <c r="G829" s="2">
        <v>126346.8</v>
      </c>
      <c r="H829" s="1">
        <v>485496</v>
      </c>
      <c r="M829" t="s">
        <v>563</v>
      </c>
      <c r="N829" t="s">
        <v>1594</v>
      </c>
    </row>
    <row r="830" spans="1:14" x14ac:dyDescent="0.25">
      <c r="A830" t="s">
        <v>564</v>
      </c>
      <c r="B830" t="str">
        <f t="shared" si="24"/>
        <v>p__Bacteroidota</v>
      </c>
      <c r="C830" s="1">
        <v>21</v>
      </c>
      <c r="D830" s="3">
        <v>2116129</v>
      </c>
      <c r="E830" s="3">
        <f t="shared" si="25"/>
        <v>2.1161289999999999</v>
      </c>
      <c r="F830" s="1">
        <v>13578</v>
      </c>
      <c r="G830" s="1">
        <v>100768</v>
      </c>
      <c r="H830" s="1">
        <v>559987</v>
      </c>
      <c r="M830" t="s">
        <v>564</v>
      </c>
      <c r="N830" t="s">
        <v>1594</v>
      </c>
    </row>
    <row r="831" spans="1:14" x14ac:dyDescent="0.25">
      <c r="A831" t="s">
        <v>565</v>
      </c>
      <c r="B831" t="str">
        <f t="shared" si="24"/>
        <v>p__Bacteroidota</v>
      </c>
      <c r="C831" s="1">
        <v>120</v>
      </c>
      <c r="D831" s="3">
        <v>2663720</v>
      </c>
      <c r="E831" s="3">
        <f t="shared" si="25"/>
        <v>2.6637200000000001</v>
      </c>
      <c r="F831" s="2">
        <v>2550</v>
      </c>
      <c r="G831" s="1">
        <v>22197.7</v>
      </c>
      <c r="H831" s="1">
        <v>115369</v>
      </c>
      <c r="M831" t="s">
        <v>565</v>
      </c>
      <c r="N831" t="s">
        <v>1594</v>
      </c>
    </row>
    <row r="832" spans="1:14" x14ac:dyDescent="0.25">
      <c r="A832" t="s">
        <v>566</v>
      </c>
      <c r="B832" t="str">
        <f t="shared" si="24"/>
        <v>p__Bacteroidota</v>
      </c>
      <c r="C832" s="1">
        <v>12</v>
      </c>
      <c r="D832" s="3">
        <v>2420636</v>
      </c>
      <c r="E832" s="3">
        <f t="shared" si="25"/>
        <v>2.420636</v>
      </c>
      <c r="F832" s="1">
        <v>25513</v>
      </c>
      <c r="G832" s="2">
        <v>201719.7</v>
      </c>
      <c r="H832" s="1">
        <v>605662</v>
      </c>
      <c r="M832" t="s">
        <v>566</v>
      </c>
      <c r="N832" t="s">
        <v>1594</v>
      </c>
    </row>
    <row r="833" spans="1:14" x14ac:dyDescent="0.25">
      <c r="A833" t="s">
        <v>567</v>
      </c>
      <c r="B833" t="str">
        <f t="shared" si="24"/>
        <v>p__Bacteroidota</v>
      </c>
      <c r="C833" s="1">
        <v>9</v>
      </c>
      <c r="D833" s="3">
        <v>2454426</v>
      </c>
      <c r="E833" s="3">
        <f t="shared" si="25"/>
        <v>2.4544260000000002</v>
      </c>
      <c r="F833" s="1">
        <v>31537</v>
      </c>
      <c r="G833" s="1">
        <v>272714</v>
      </c>
      <c r="H833" s="1">
        <v>754670</v>
      </c>
      <c r="M833" t="s">
        <v>567</v>
      </c>
      <c r="N833" t="s">
        <v>1594</v>
      </c>
    </row>
    <row r="834" spans="1:14" x14ac:dyDescent="0.25">
      <c r="A834" t="s">
        <v>568</v>
      </c>
      <c r="B834" t="str">
        <f t="shared" ref="B834:B897" si="26">VLOOKUP(A834,M:N,2,FALSE)</f>
        <v>p__Bacteroidota</v>
      </c>
      <c r="C834" s="1">
        <v>35</v>
      </c>
      <c r="D834" s="3">
        <v>1617391</v>
      </c>
      <c r="E834" s="3">
        <f t="shared" ref="E834:E897" si="27">D834/1000000</f>
        <v>1.617391</v>
      </c>
      <c r="F834" s="1">
        <v>5246</v>
      </c>
      <c r="G834" s="2">
        <v>46211.199999999997</v>
      </c>
      <c r="H834" s="1">
        <v>145944</v>
      </c>
      <c r="M834" t="s">
        <v>568</v>
      </c>
      <c r="N834" t="s">
        <v>1594</v>
      </c>
    </row>
    <row r="835" spans="1:14" x14ac:dyDescent="0.25">
      <c r="A835" t="s">
        <v>569</v>
      </c>
      <c r="B835" t="str">
        <f t="shared" si="26"/>
        <v>p__Bacteroidota</v>
      </c>
      <c r="C835" s="1">
        <v>33</v>
      </c>
      <c r="D835" s="3">
        <v>2471414</v>
      </c>
      <c r="E835" s="3">
        <f t="shared" si="27"/>
        <v>2.4714140000000002</v>
      </c>
      <c r="F835" s="1">
        <v>5246</v>
      </c>
      <c r="G835" s="2">
        <v>74891.3</v>
      </c>
      <c r="H835" s="1">
        <v>519113</v>
      </c>
      <c r="M835" t="s">
        <v>569</v>
      </c>
      <c r="N835" t="s">
        <v>1594</v>
      </c>
    </row>
    <row r="836" spans="1:14" x14ac:dyDescent="0.25">
      <c r="A836" t="s">
        <v>570</v>
      </c>
      <c r="B836" t="str">
        <f t="shared" si="26"/>
        <v>p__Bacteroidota</v>
      </c>
      <c r="C836" s="1">
        <v>16</v>
      </c>
      <c r="D836" s="3">
        <v>2614381</v>
      </c>
      <c r="E836" s="3">
        <f t="shared" si="27"/>
        <v>2.6143809999999998</v>
      </c>
      <c r="F836" s="1">
        <v>24864</v>
      </c>
      <c r="G836" s="2">
        <v>163398.79999999999</v>
      </c>
      <c r="H836" s="1">
        <v>557284</v>
      </c>
      <c r="M836" t="s">
        <v>570</v>
      </c>
      <c r="N836" t="s">
        <v>1594</v>
      </c>
    </row>
    <row r="837" spans="1:14" x14ac:dyDescent="0.25">
      <c r="A837" t="s">
        <v>571</v>
      </c>
      <c r="B837" t="str">
        <f t="shared" si="26"/>
        <v>p__Bacteroidota</v>
      </c>
      <c r="C837" s="1">
        <v>19</v>
      </c>
      <c r="D837" s="3">
        <v>2320954</v>
      </c>
      <c r="E837" s="3">
        <f t="shared" si="27"/>
        <v>2.320954</v>
      </c>
      <c r="F837" s="1">
        <v>6348</v>
      </c>
      <c r="G837" s="2">
        <v>122155.5</v>
      </c>
      <c r="H837" s="1">
        <v>573414</v>
      </c>
      <c r="M837" t="s">
        <v>571</v>
      </c>
      <c r="N837" t="s">
        <v>1594</v>
      </c>
    </row>
    <row r="838" spans="1:14" x14ac:dyDescent="0.25">
      <c r="A838" t="s">
        <v>572</v>
      </c>
      <c r="B838" t="str">
        <f t="shared" si="26"/>
        <v>p__Bacteroidota</v>
      </c>
      <c r="C838" s="1">
        <v>7</v>
      </c>
      <c r="D838" s="3">
        <v>2063446</v>
      </c>
      <c r="E838" s="3">
        <f t="shared" si="27"/>
        <v>2.0634459999999999</v>
      </c>
      <c r="F838" s="1">
        <v>100304</v>
      </c>
      <c r="G838" s="1">
        <v>294778</v>
      </c>
      <c r="H838" s="1">
        <v>599479</v>
      </c>
      <c r="M838" t="s">
        <v>572</v>
      </c>
      <c r="N838" t="s">
        <v>1594</v>
      </c>
    </row>
    <row r="839" spans="1:14" x14ac:dyDescent="0.25">
      <c r="A839" t="s">
        <v>573</v>
      </c>
      <c r="B839" t="str">
        <f t="shared" si="26"/>
        <v>p__Bacteroidota</v>
      </c>
      <c r="C839" s="1">
        <v>1</v>
      </c>
      <c r="D839" s="3">
        <v>2558786</v>
      </c>
      <c r="E839" s="3">
        <f t="shared" si="27"/>
        <v>2.558786</v>
      </c>
      <c r="F839" s="1">
        <v>2558786</v>
      </c>
      <c r="G839" s="1">
        <v>2558786</v>
      </c>
      <c r="H839" s="1">
        <v>2558786</v>
      </c>
      <c r="M839" t="s">
        <v>573</v>
      </c>
      <c r="N839" t="s">
        <v>1594</v>
      </c>
    </row>
    <row r="840" spans="1:14" x14ac:dyDescent="0.25">
      <c r="A840" t="s">
        <v>574</v>
      </c>
      <c r="B840" t="str">
        <f t="shared" si="26"/>
        <v>p__Bacteroidota</v>
      </c>
      <c r="C840" s="1">
        <v>8</v>
      </c>
      <c r="D840" s="3">
        <v>2689284</v>
      </c>
      <c r="E840" s="3">
        <f t="shared" si="27"/>
        <v>2.6892839999999998</v>
      </c>
      <c r="F840" s="1">
        <v>58121</v>
      </c>
      <c r="G840" s="2">
        <v>336160.5</v>
      </c>
      <c r="H840" s="1">
        <v>785479</v>
      </c>
      <c r="M840" t="s">
        <v>574</v>
      </c>
      <c r="N840" t="s">
        <v>1594</v>
      </c>
    </row>
    <row r="841" spans="1:14" x14ac:dyDescent="0.25">
      <c r="A841" t="s">
        <v>575</v>
      </c>
      <c r="B841" t="str">
        <f t="shared" si="26"/>
        <v>p__Bacteroidota</v>
      </c>
      <c r="C841" s="1">
        <v>7</v>
      </c>
      <c r="D841" s="3">
        <v>2374029</v>
      </c>
      <c r="E841" s="3">
        <f t="shared" si="27"/>
        <v>2.3740290000000002</v>
      </c>
      <c r="F841" s="1">
        <v>68235</v>
      </c>
      <c r="G841" s="1">
        <v>339147</v>
      </c>
      <c r="H841" s="1">
        <v>767066</v>
      </c>
      <c r="M841" t="s">
        <v>575</v>
      </c>
      <c r="N841" t="s">
        <v>1594</v>
      </c>
    </row>
    <row r="842" spans="1:14" x14ac:dyDescent="0.25">
      <c r="A842" t="s">
        <v>576</v>
      </c>
      <c r="B842" t="str">
        <f t="shared" si="26"/>
        <v>p__Bacteroidota</v>
      </c>
      <c r="C842" s="1">
        <v>177</v>
      </c>
      <c r="D842" s="3">
        <v>2104105</v>
      </c>
      <c r="E842" s="3">
        <f t="shared" si="27"/>
        <v>2.1041050000000001</v>
      </c>
      <c r="F842" s="2">
        <v>2002</v>
      </c>
      <c r="G842" s="1">
        <v>11887.6</v>
      </c>
      <c r="H842" s="1">
        <v>83765</v>
      </c>
      <c r="M842" t="s">
        <v>576</v>
      </c>
      <c r="N842" t="s">
        <v>1594</v>
      </c>
    </row>
    <row r="843" spans="1:14" x14ac:dyDescent="0.25">
      <c r="A843" t="s">
        <v>577</v>
      </c>
      <c r="B843" t="str">
        <f t="shared" si="26"/>
        <v>p__Bacteroidota</v>
      </c>
      <c r="C843" s="1">
        <v>46</v>
      </c>
      <c r="D843" s="3">
        <v>1838937</v>
      </c>
      <c r="E843" s="3">
        <f t="shared" si="27"/>
        <v>1.838937</v>
      </c>
      <c r="F843" s="1">
        <v>2246</v>
      </c>
      <c r="G843" s="2">
        <v>39976.9</v>
      </c>
      <c r="H843" s="1">
        <v>186912</v>
      </c>
      <c r="M843" t="s">
        <v>577</v>
      </c>
      <c r="N843" t="s">
        <v>1594</v>
      </c>
    </row>
    <row r="844" spans="1:14" x14ac:dyDescent="0.25">
      <c r="A844" t="s">
        <v>578</v>
      </c>
      <c r="B844" t="str">
        <f t="shared" si="26"/>
        <v>p__Bacteroidota</v>
      </c>
      <c r="C844" s="1">
        <v>57</v>
      </c>
      <c r="D844" s="3">
        <v>2233916</v>
      </c>
      <c r="E844" s="3">
        <f t="shared" si="27"/>
        <v>2.2339159999999998</v>
      </c>
      <c r="F844" s="1">
        <v>2163</v>
      </c>
      <c r="G844" s="2">
        <v>39191.5</v>
      </c>
      <c r="H844" s="1">
        <v>195672</v>
      </c>
      <c r="M844" t="s">
        <v>578</v>
      </c>
      <c r="N844" t="s">
        <v>1594</v>
      </c>
    </row>
    <row r="845" spans="1:14" x14ac:dyDescent="0.25">
      <c r="A845" t="s">
        <v>579</v>
      </c>
      <c r="B845" t="str">
        <f t="shared" si="26"/>
        <v>p__Bacteroidota</v>
      </c>
      <c r="C845" s="1">
        <v>22</v>
      </c>
      <c r="D845" s="3">
        <v>2930641</v>
      </c>
      <c r="E845" s="3">
        <f t="shared" si="27"/>
        <v>2.9306410000000001</v>
      </c>
      <c r="F845" s="1">
        <v>18336</v>
      </c>
      <c r="G845" s="1">
        <v>133211</v>
      </c>
      <c r="H845" s="1">
        <v>665699</v>
      </c>
      <c r="M845" t="s">
        <v>579</v>
      </c>
      <c r="N845" t="s">
        <v>1594</v>
      </c>
    </row>
    <row r="846" spans="1:14" x14ac:dyDescent="0.25">
      <c r="A846" t="s">
        <v>580</v>
      </c>
      <c r="B846" t="str">
        <f t="shared" si="26"/>
        <v>p__Bacteroidota</v>
      </c>
      <c r="C846" s="1">
        <v>11</v>
      </c>
      <c r="D846" s="3">
        <v>4060789</v>
      </c>
      <c r="E846" s="3">
        <f t="shared" si="27"/>
        <v>4.0607889999999998</v>
      </c>
      <c r="F846" s="1">
        <v>28847</v>
      </c>
      <c r="G846" s="2">
        <v>369162.6</v>
      </c>
      <c r="H846" s="1">
        <v>984631</v>
      </c>
      <c r="M846" t="s">
        <v>580</v>
      </c>
      <c r="N846" t="s">
        <v>1594</v>
      </c>
    </row>
    <row r="847" spans="1:14" x14ac:dyDescent="0.25">
      <c r="A847" t="s">
        <v>581</v>
      </c>
      <c r="B847" t="str">
        <f t="shared" si="26"/>
        <v>p__Bacteroidota</v>
      </c>
      <c r="C847" s="1">
        <v>25</v>
      </c>
      <c r="D847" s="3">
        <v>3980772</v>
      </c>
      <c r="E847" s="3">
        <f t="shared" si="27"/>
        <v>3.980772</v>
      </c>
      <c r="F847" s="1">
        <v>2105</v>
      </c>
      <c r="G847" s="2">
        <v>159230.9</v>
      </c>
      <c r="H847" s="1">
        <v>3769591</v>
      </c>
      <c r="M847" t="s">
        <v>581</v>
      </c>
      <c r="N847" t="s">
        <v>1594</v>
      </c>
    </row>
    <row r="848" spans="1:14" x14ac:dyDescent="0.25">
      <c r="A848" t="s">
        <v>582</v>
      </c>
      <c r="B848" t="str">
        <f t="shared" si="26"/>
        <v>p__Bacteroidota</v>
      </c>
      <c r="C848" s="1">
        <v>79</v>
      </c>
      <c r="D848" s="3">
        <v>2763708</v>
      </c>
      <c r="E848" s="3">
        <f t="shared" si="27"/>
        <v>2.7637079999999998</v>
      </c>
      <c r="F848" s="1">
        <v>2074</v>
      </c>
      <c r="G848" s="2">
        <v>34983.599999999999</v>
      </c>
      <c r="H848" s="1">
        <v>144328</v>
      </c>
      <c r="M848" t="s">
        <v>582</v>
      </c>
      <c r="N848" t="s">
        <v>1594</v>
      </c>
    </row>
    <row r="849" spans="1:14" x14ac:dyDescent="0.25">
      <c r="A849" t="s">
        <v>583</v>
      </c>
      <c r="B849" t="str">
        <f t="shared" si="26"/>
        <v>p__Bacteroidota</v>
      </c>
      <c r="C849" s="1">
        <v>6</v>
      </c>
      <c r="D849" s="3">
        <v>3036418</v>
      </c>
      <c r="E849" s="3">
        <f t="shared" si="27"/>
        <v>3.0364179999999998</v>
      </c>
      <c r="F849" s="1">
        <v>228835</v>
      </c>
      <c r="G849" s="2">
        <v>506069.7</v>
      </c>
      <c r="H849" s="1">
        <v>771214</v>
      </c>
      <c r="M849" t="s">
        <v>583</v>
      </c>
      <c r="N849" t="s">
        <v>1594</v>
      </c>
    </row>
    <row r="850" spans="1:14" x14ac:dyDescent="0.25">
      <c r="A850" t="s">
        <v>584</v>
      </c>
      <c r="B850" t="str">
        <f t="shared" si="26"/>
        <v>p__Bacteroidota</v>
      </c>
      <c r="C850" s="1">
        <v>10</v>
      </c>
      <c r="D850" s="3">
        <v>3094308</v>
      </c>
      <c r="E850" s="3">
        <f t="shared" si="27"/>
        <v>3.0943079999999998</v>
      </c>
      <c r="F850" s="1">
        <v>9764</v>
      </c>
      <c r="G850" s="2">
        <v>309430.8</v>
      </c>
      <c r="H850" s="1">
        <v>1060301</v>
      </c>
      <c r="M850" t="s">
        <v>584</v>
      </c>
      <c r="N850" t="s">
        <v>1594</v>
      </c>
    </row>
    <row r="851" spans="1:14" x14ac:dyDescent="0.25">
      <c r="A851" t="s">
        <v>585</v>
      </c>
      <c r="B851" t="str">
        <f t="shared" si="26"/>
        <v>p__Bacteroidota</v>
      </c>
      <c r="C851" s="1">
        <v>19</v>
      </c>
      <c r="D851" s="3">
        <v>3078618</v>
      </c>
      <c r="E851" s="3">
        <f t="shared" si="27"/>
        <v>3.0786180000000001</v>
      </c>
      <c r="F851" s="1">
        <v>2161</v>
      </c>
      <c r="G851" s="2">
        <v>162032.5</v>
      </c>
      <c r="H851" s="1">
        <v>649917</v>
      </c>
      <c r="M851" t="s">
        <v>585</v>
      </c>
      <c r="N851" t="s">
        <v>1594</v>
      </c>
    </row>
    <row r="852" spans="1:14" x14ac:dyDescent="0.25">
      <c r="A852" t="s">
        <v>586</v>
      </c>
      <c r="B852" t="str">
        <f t="shared" si="26"/>
        <v>p__Bacteroidota</v>
      </c>
      <c r="C852" s="1">
        <v>2</v>
      </c>
      <c r="D852" s="3">
        <v>3657779</v>
      </c>
      <c r="E852" s="3">
        <f t="shared" si="27"/>
        <v>3.6577790000000001</v>
      </c>
      <c r="F852" s="1">
        <v>49125</v>
      </c>
      <c r="G852" s="2">
        <v>1828889.5</v>
      </c>
      <c r="H852" s="1">
        <v>3608654</v>
      </c>
      <c r="M852" t="s">
        <v>586</v>
      </c>
      <c r="N852" t="s">
        <v>1594</v>
      </c>
    </row>
    <row r="853" spans="1:14" x14ac:dyDescent="0.25">
      <c r="A853" t="s">
        <v>587</v>
      </c>
      <c r="B853" t="str">
        <f t="shared" si="26"/>
        <v>p__Bacteroidota</v>
      </c>
      <c r="C853" s="1">
        <v>3</v>
      </c>
      <c r="D853" s="3">
        <v>3985118</v>
      </c>
      <c r="E853" s="3">
        <f t="shared" si="27"/>
        <v>3.9851179999999999</v>
      </c>
      <c r="F853" s="1">
        <v>156453</v>
      </c>
      <c r="G853" s="2">
        <v>1328372.7</v>
      </c>
      <c r="H853" s="1">
        <v>3477972</v>
      </c>
      <c r="M853" t="s">
        <v>587</v>
      </c>
      <c r="N853" t="s">
        <v>1594</v>
      </c>
    </row>
    <row r="854" spans="1:14" x14ac:dyDescent="0.25">
      <c r="A854" t="s">
        <v>588</v>
      </c>
      <c r="B854" t="str">
        <f t="shared" si="26"/>
        <v>p__Bacteroidota</v>
      </c>
      <c r="C854" s="1">
        <v>1</v>
      </c>
      <c r="D854" s="3">
        <v>638818</v>
      </c>
      <c r="E854" s="3">
        <f t="shared" si="27"/>
        <v>0.638818</v>
      </c>
      <c r="F854" s="1">
        <v>638818</v>
      </c>
      <c r="G854" s="1">
        <v>638818</v>
      </c>
      <c r="H854" s="1">
        <v>638818</v>
      </c>
      <c r="M854" t="s">
        <v>588</v>
      </c>
      <c r="N854" t="s">
        <v>1594</v>
      </c>
    </row>
    <row r="855" spans="1:14" x14ac:dyDescent="0.25">
      <c r="A855" t="s">
        <v>589</v>
      </c>
      <c r="B855" t="str">
        <f t="shared" si="26"/>
        <v>p__Bacteroidota</v>
      </c>
      <c r="C855" s="1">
        <v>7</v>
      </c>
      <c r="D855" s="3">
        <v>1842764</v>
      </c>
      <c r="E855" s="3">
        <f t="shared" si="27"/>
        <v>1.8427640000000001</v>
      </c>
      <c r="F855" s="1">
        <v>2358</v>
      </c>
      <c r="G855" s="1">
        <v>263252</v>
      </c>
      <c r="H855" s="1">
        <v>1147748</v>
      </c>
      <c r="M855" t="s">
        <v>589</v>
      </c>
      <c r="N855" t="s">
        <v>1594</v>
      </c>
    </row>
    <row r="856" spans="1:14" x14ac:dyDescent="0.25">
      <c r="A856" t="s">
        <v>837</v>
      </c>
      <c r="B856" t="str">
        <f t="shared" si="26"/>
        <v>p__Bacteroidota</v>
      </c>
      <c r="C856" s="1">
        <v>22</v>
      </c>
      <c r="D856" s="3">
        <v>3065306</v>
      </c>
      <c r="E856" s="3">
        <f t="shared" si="27"/>
        <v>3.0653060000000001</v>
      </c>
      <c r="F856" s="1">
        <v>10939</v>
      </c>
      <c r="G856" s="2">
        <v>139332.1</v>
      </c>
      <c r="H856" s="1">
        <v>343006</v>
      </c>
      <c r="M856" t="s">
        <v>837</v>
      </c>
      <c r="N856" t="s">
        <v>1594</v>
      </c>
    </row>
    <row r="857" spans="1:14" x14ac:dyDescent="0.25">
      <c r="A857" t="s">
        <v>838</v>
      </c>
      <c r="B857" t="str">
        <f t="shared" si="26"/>
        <v>p__Bacteroidota</v>
      </c>
      <c r="C857" s="1">
        <v>27</v>
      </c>
      <c r="D857" s="3">
        <v>2616747</v>
      </c>
      <c r="E857" s="3">
        <f t="shared" si="27"/>
        <v>2.6167470000000002</v>
      </c>
      <c r="F857" s="1">
        <v>5752</v>
      </c>
      <c r="G857" s="2">
        <v>96916.6</v>
      </c>
      <c r="H857" s="1">
        <v>295853</v>
      </c>
      <c r="M857" t="s">
        <v>838</v>
      </c>
      <c r="N857" t="s">
        <v>1594</v>
      </c>
    </row>
    <row r="858" spans="1:14" x14ac:dyDescent="0.25">
      <c r="A858" t="s">
        <v>839</v>
      </c>
      <c r="B858" t="str">
        <f t="shared" si="26"/>
        <v>p__Bacteroidota</v>
      </c>
      <c r="C858" s="1">
        <v>28</v>
      </c>
      <c r="D858" s="3">
        <v>1926867</v>
      </c>
      <c r="E858" s="3">
        <f t="shared" si="27"/>
        <v>1.9268670000000001</v>
      </c>
      <c r="F858" s="1">
        <v>2632</v>
      </c>
      <c r="G858" s="2">
        <v>68816.7</v>
      </c>
      <c r="H858" s="1">
        <v>160736</v>
      </c>
      <c r="M858" t="s">
        <v>839</v>
      </c>
      <c r="N858" t="s">
        <v>1594</v>
      </c>
    </row>
    <row r="859" spans="1:14" x14ac:dyDescent="0.25">
      <c r="A859" t="s">
        <v>840</v>
      </c>
      <c r="B859" t="str">
        <f t="shared" si="26"/>
        <v>p__Bacteroidota</v>
      </c>
      <c r="C859" s="1">
        <v>39</v>
      </c>
      <c r="D859" s="3">
        <v>1926533</v>
      </c>
      <c r="E859" s="3">
        <f t="shared" si="27"/>
        <v>1.9265330000000001</v>
      </c>
      <c r="F859" s="1">
        <v>5430</v>
      </c>
      <c r="G859" s="2">
        <v>49398.3</v>
      </c>
      <c r="H859" s="1">
        <v>109704</v>
      </c>
      <c r="M859" t="s">
        <v>840</v>
      </c>
      <c r="N859" t="s">
        <v>1594</v>
      </c>
    </row>
    <row r="860" spans="1:14" x14ac:dyDescent="0.25">
      <c r="A860" t="s">
        <v>841</v>
      </c>
      <c r="B860" t="str">
        <f t="shared" si="26"/>
        <v>p__Bacteroidota</v>
      </c>
      <c r="C860" s="1">
        <v>47</v>
      </c>
      <c r="D860" s="3">
        <v>2111938</v>
      </c>
      <c r="E860" s="3">
        <f t="shared" si="27"/>
        <v>2.1119379999999999</v>
      </c>
      <c r="F860" s="1">
        <v>2928</v>
      </c>
      <c r="G860" s="2">
        <v>44934.9</v>
      </c>
      <c r="H860" s="1">
        <v>201396</v>
      </c>
      <c r="M860" t="s">
        <v>841</v>
      </c>
      <c r="N860" t="s">
        <v>1594</v>
      </c>
    </row>
    <row r="861" spans="1:14" x14ac:dyDescent="0.25">
      <c r="A861" t="s">
        <v>842</v>
      </c>
      <c r="B861" t="str">
        <f t="shared" si="26"/>
        <v>p__Bacteroidota</v>
      </c>
      <c r="C861" s="1">
        <v>74</v>
      </c>
      <c r="D861" s="3">
        <v>2161064</v>
      </c>
      <c r="E861" s="3">
        <f t="shared" si="27"/>
        <v>2.1610640000000001</v>
      </c>
      <c r="F861" s="1">
        <v>2047</v>
      </c>
      <c r="G861" s="2">
        <v>29203.599999999999</v>
      </c>
      <c r="H861" s="1">
        <v>176499</v>
      </c>
      <c r="M861" t="s">
        <v>842</v>
      </c>
      <c r="N861" t="s">
        <v>1594</v>
      </c>
    </row>
    <row r="862" spans="1:14" x14ac:dyDescent="0.25">
      <c r="A862" t="s">
        <v>843</v>
      </c>
      <c r="B862" t="str">
        <f t="shared" si="26"/>
        <v>p__Bacteroidota</v>
      </c>
      <c r="C862" s="1">
        <v>144</v>
      </c>
      <c r="D862" s="3">
        <v>1755520</v>
      </c>
      <c r="E862" s="3">
        <f t="shared" si="27"/>
        <v>1.75552</v>
      </c>
      <c r="F862" s="2">
        <v>2025</v>
      </c>
      <c r="G862" s="1">
        <v>12191.1</v>
      </c>
      <c r="H862" s="1">
        <v>191768</v>
      </c>
      <c r="M862" t="s">
        <v>843</v>
      </c>
      <c r="N862" t="s">
        <v>1594</v>
      </c>
    </row>
    <row r="863" spans="1:14" x14ac:dyDescent="0.25">
      <c r="A863" t="s">
        <v>844</v>
      </c>
      <c r="B863" t="str">
        <f t="shared" si="26"/>
        <v>p__Bacteroidota</v>
      </c>
      <c r="C863" s="1">
        <v>50</v>
      </c>
      <c r="D863" s="3">
        <v>1830008</v>
      </c>
      <c r="E863" s="3">
        <f t="shared" si="27"/>
        <v>1.8300080000000001</v>
      </c>
      <c r="F863" s="1">
        <v>2116</v>
      </c>
      <c r="G863" s="2">
        <v>36600.199999999997</v>
      </c>
      <c r="H863" s="1">
        <v>258931</v>
      </c>
      <c r="M863" t="s">
        <v>844</v>
      </c>
      <c r="N863" t="s">
        <v>1594</v>
      </c>
    </row>
    <row r="864" spans="1:14" x14ac:dyDescent="0.25">
      <c r="A864" t="s">
        <v>845</v>
      </c>
      <c r="B864" t="str">
        <f t="shared" si="26"/>
        <v>p__Bacteroidota</v>
      </c>
      <c r="C864" s="1">
        <v>34</v>
      </c>
      <c r="D864" s="3">
        <v>1564145</v>
      </c>
      <c r="E864" s="3">
        <f t="shared" si="27"/>
        <v>1.5641449999999999</v>
      </c>
      <c r="F864" s="1">
        <v>2505</v>
      </c>
      <c r="G864" s="2">
        <v>46004.3</v>
      </c>
      <c r="H864" s="1">
        <v>199331</v>
      </c>
      <c r="M864" t="s">
        <v>845</v>
      </c>
      <c r="N864" t="s">
        <v>1594</v>
      </c>
    </row>
    <row r="865" spans="1:14" x14ac:dyDescent="0.25">
      <c r="A865" t="s">
        <v>846</v>
      </c>
      <c r="B865" t="str">
        <f t="shared" si="26"/>
        <v>p__Bacteroidota</v>
      </c>
      <c r="C865" s="1">
        <v>3</v>
      </c>
      <c r="D865" s="3">
        <v>2122721</v>
      </c>
      <c r="E865" s="3">
        <f t="shared" si="27"/>
        <v>2.1227209999999999</v>
      </c>
      <c r="F865" s="1">
        <v>557091</v>
      </c>
      <c r="G865" s="2">
        <v>707573.7</v>
      </c>
      <c r="H865" s="1">
        <v>995183</v>
      </c>
      <c r="M865" t="s">
        <v>846</v>
      </c>
      <c r="N865" t="s">
        <v>1594</v>
      </c>
    </row>
    <row r="866" spans="1:14" x14ac:dyDescent="0.25">
      <c r="A866" t="s">
        <v>847</v>
      </c>
      <c r="B866" t="str">
        <f t="shared" si="26"/>
        <v>p__Bacteroidota</v>
      </c>
      <c r="C866" s="1">
        <v>29</v>
      </c>
      <c r="D866" s="3">
        <v>2116042</v>
      </c>
      <c r="E866" s="3">
        <f t="shared" si="27"/>
        <v>2.1160420000000002</v>
      </c>
      <c r="F866" s="1">
        <v>2154</v>
      </c>
      <c r="G866" s="1">
        <v>72967</v>
      </c>
      <c r="H866" s="1">
        <v>266925</v>
      </c>
      <c r="M866" t="s">
        <v>847</v>
      </c>
      <c r="N866" t="s">
        <v>1594</v>
      </c>
    </row>
    <row r="867" spans="1:14" x14ac:dyDescent="0.25">
      <c r="A867" t="s">
        <v>848</v>
      </c>
      <c r="B867" t="str">
        <f t="shared" si="26"/>
        <v>p__Bacteroidota</v>
      </c>
      <c r="C867" s="1">
        <v>24</v>
      </c>
      <c r="D867" s="3">
        <v>2681109</v>
      </c>
      <c r="E867" s="3">
        <f t="shared" si="27"/>
        <v>2.6811090000000002</v>
      </c>
      <c r="F867" s="1">
        <v>8880</v>
      </c>
      <c r="G867" s="2">
        <v>111712.9</v>
      </c>
      <c r="H867" s="1">
        <v>326640</v>
      </c>
      <c r="M867" t="s">
        <v>848</v>
      </c>
      <c r="N867" t="s">
        <v>1594</v>
      </c>
    </row>
    <row r="868" spans="1:14" x14ac:dyDescent="0.25">
      <c r="A868" t="s">
        <v>849</v>
      </c>
      <c r="B868" t="str">
        <f t="shared" si="26"/>
        <v>p__Bacteroidota</v>
      </c>
      <c r="C868" s="1">
        <v>14</v>
      </c>
      <c r="D868" s="3">
        <v>2050273</v>
      </c>
      <c r="E868" s="3">
        <f t="shared" si="27"/>
        <v>2.0502729999999998</v>
      </c>
      <c r="F868" s="1">
        <v>2148</v>
      </c>
      <c r="G868" s="2">
        <v>146448.1</v>
      </c>
      <c r="H868" s="1">
        <v>531630</v>
      </c>
      <c r="M868" t="s">
        <v>849</v>
      </c>
      <c r="N868" t="s">
        <v>1594</v>
      </c>
    </row>
    <row r="869" spans="1:14" x14ac:dyDescent="0.25">
      <c r="A869" t="s">
        <v>850</v>
      </c>
      <c r="B869" t="str">
        <f t="shared" si="26"/>
        <v>p__Bacteroidota</v>
      </c>
      <c r="C869" s="1">
        <v>69</v>
      </c>
      <c r="D869" s="3">
        <v>1972104</v>
      </c>
      <c r="E869" s="3">
        <f t="shared" si="27"/>
        <v>1.9721040000000001</v>
      </c>
      <c r="F869" s="1">
        <v>2005</v>
      </c>
      <c r="G869" s="2">
        <v>28581.200000000001</v>
      </c>
      <c r="H869" s="1">
        <v>185046</v>
      </c>
      <c r="M869" t="s">
        <v>850</v>
      </c>
      <c r="N869" t="s">
        <v>1594</v>
      </c>
    </row>
    <row r="870" spans="1:14" x14ac:dyDescent="0.25">
      <c r="A870" t="s">
        <v>851</v>
      </c>
      <c r="B870" t="str">
        <f t="shared" si="26"/>
        <v>p__Bacteroidota</v>
      </c>
      <c r="C870" s="1">
        <v>66</v>
      </c>
      <c r="D870" s="3">
        <v>2169269</v>
      </c>
      <c r="E870" s="3">
        <f t="shared" si="27"/>
        <v>2.1692689999999999</v>
      </c>
      <c r="F870" s="1">
        <v>2005</v>
      </c>
      <c r="G870" s="2">
        <v>32867.699999999997</v>
      </c>
      <c r="H870" s="1">
        <v>203763</v>
      </c>
      <c r="M870" t="s">
        <v>851</v>
      </c>
      <c r="N870" t="s">
        <v>1594</v>
      </c>
    </row>
    <row r="871" spans="1:14" x14ac:dyDescent="0.25">
      <c r="A871" t="s">
        <v>852</v>
      </c>
      <c r="B871" t="str">
        <f t="shared" si="26"/>
        <v>p__Bacteroidota</v>
      </c>
      <c r="C871" s="1">
        <v>15</v>
      </c>
      <c r="D871" s="3">
        <v>1403348</v>
      </c>
      <c r="E871" s="3">
        <f t="shared" si="27"/>
        <v>1.403348</v>
      </c>
      <c r="F871" s="1">
        <v>9357</v>
      </c>
      <c r="G871" s="2">
        <v>93556.5</v>
      </c>
      <c r="H871" s="1">
        <v>247048</v>
      </c>
      <c r="M871" t="s">
        <v>852</v>
      </c>
      <c r="N871" t="s">
        <v>1594</v>
      </c>
    </row>
    <row r="872" spans="1:14" x14ac:dyDescent="0.25">
      <c r="A872" t="s">
        <v>853</v>
      </c>
      <c r="B872" t="str">
        <f t="shared" si="26"/>
        <v>p__Bacteroidota</v>
      </c>
      <c r="C872" s="1">
        <v>42</v>
      </c>
      <c r="D872" s="3">
        <v>1993280</v>
      </c>
      <c r="E872" s="3">
        <f t="shared" si="27"/>
        <v>1.9932799999999999</v>
      </c>
      <c r="F872" s="1">
        <v>3013</v>
      </c>
      <c r="G872" s="1">
        <v>47459</v>
      </c>
      <c r="H872" s="1">
        <v>275634</v>
      </c>
      <c r="M872" t="s">
        <v>853</v>
      </c>
      <c r="N872" t="s">
        <v>1594</v>
      </c>
    </row>
    <row r="873" spans="1:14" x14ac:dyDescent="0.25">
      <c r="A873" t="s">
        <v>854</v>
      </c>
      <c r="B873" t="str">
        <f t="shared" si="26"/>
        <v>p__Bacteroidota</v>
      </c>
      <c r="C873" s="1">
        <v>58</v>
      </c>
      <c r="D873" s="3">
        <v>1589222</v>
      </c>
      <c r="E873" s="3">
        <f t="shared" si="27"/>
        <v>1.5892219999999999</v>
      </c>
      <c r="F873" s="1">
        <v>2007</v>
      </c>
      <c r="G873" s="2">
        <v>27400.400000000001</v>
      </c>
      <c r="H873" s="1">
        <v>126120</v>
      </c>
      <c r="M873" t="s">
        <v>854</v>
      </c>
      <c r="N873" t="s">
        <v>1594</v>
      </c>
    </row>
    <row r="874" spans="1:14" x14ac:dyDescent="0.25">
      <c r="A874" t="s">
        <v>855</v>
      </c>
      <c r="B874" t="str">
        <f t="shared" si="26"/>
        <v>p__Bacteroidota</v>
      </c>
      <c r="C874" s="1">
        <v>45</v>
      </c>
      <c r="D874" s="3">
        <v>3864072</v>
      </c>
      <c r="E874" s="3">
        <f t="shared" si="27"/>
        <v>3.8640720000000002</v>
      </c>
      <c r="F874" s="1">
        <v>6517</v>
      </c>
      <c r="G874" s="2">
        <v>85868.3</v>
      </c>
      <c r="H874" s="1">
        <v>343277</v>
      </c>
      <c r="M874" t="s">
        <v>855</v>
      </c>
      <c r="N874" t="s">
        <v>1594</v>
      </c>
    </row>
    <row r="875" spans="1:14" x14ac:dyDescent="0.25">
      <c r="A875" t="s">
        <v>856</v>
      </c>
      <c r="B875" t="str">
        <f t="shared" si="26"/>
        <v>p__Bacteroidota</v>
      </c>
      <c r="C875" s="1">
        <v>42</v>
      </c>
      <c r="D875" s="3">
        <v>2891617</v>
      </c>
      <c r="E875" s="3">
        <f t="shared" si="27"/>
        <v>2.8916170000000001</v>
      </c>
      <c r="F875" s="1">
        <v>2562</v>
      </c>
      <c r="G875" s="1">
        <v>68848</v>
      </c>
      <c r="H875" s="1">
        <v>289355</v>
      </c>
      <c r="M875" t="s">
        <v>856</v>
      </c>
      <c r="N875" t="s">
        <v>1594</v>
      </c>
    </row>
    <row r="876" spans="1:14" x14ac:dyDescent="0.25">
      <c r="A876" t="s">
        <v>857</v>
      </c>
      <c r="B876" t="str">
        <f t="shared" si="26"/>
        <v>p__Bacteroidota</v>
      </c>
      <c r="C876" s="1">
        <v>39</v>
      </c>
      <c r="D876" s="3">
        <v>3448967</v>
      </c>
      <c r="E876" s="3">
        <f t="shared" si="27"/>
        <v>3.4489670000000001</v>
      </c>
      <c r="F876" s="1">
        <v>2923</v>
      </c>
      <c r="G876" s="2">
        <v>88435.1</v>
      </c>
      <c r="H876" s="1">
        <v>374451</v>
      </c>
      <c r="M876" t="s">
        <v>857</v>
      </c>
      <c r="N876" t="s">
        <v>1594</v>
      </c>
    </row>
    <row r="877" spans="1:14" x14ac:dyDescent="0.25">
      <c r="A877" t="s">
        <v>858</v>
      </c>
      <c r="B877" t="str">
        <f t="shared" si="26"/>
        <v>p__Bacteroidota</v>
      </c>
      <c r="C877" s="1">
        <v>13</v>
      </c>
      <c r="D877" s="3">
        <v>3442769</v>
      </c>
      <c r="E877" s="3">
        <f t="shared" si="27"/>
        <v>3.4427690000000002</v>
      </c>
      <c r="F877" s="1">
        <v>5074</v>
      </c>
      <c r="G877" s="2">
        <v>264828.40000000002</v>
      </c>
      <c r="H877" s="1">
        <v>2622050</v>
      </c>
      <c r="M877" t="s">
        <v>858</v>
      </c>
      <c r="N877" t="s">
        <v>1594</v>
      </c>
    </row>
    <row r="878" spans="1:14" x14ac:dyDescent="0.25">
      <c r="A878" t="s">
        <v>859</v>
      </c>
      <c r="B878" t="str">
        <f t="shared" si="26"/>
        <v>p__Bacteroidota</v>
      </c>
      <c r="C878" s="1">
        <v>5</v>
      </c>
      <c r="D878" s="3">
        <v>1272781</v>
      </c>
      <c r="E878" s="3">
        <f t="shared" si="27"/>
        <v>1.2727809999999999</v>
      </c>
      <c r="F878" s="1">
        <v>51062</v>
      </c>
      <c r="G878" s="2">
        <v>254556.2</v>
      </c>
      <c r="H878" s="1">
        <v>794033</v>
      </c>
      <c r="M878" t="s">
        <v>859</v>
      </c>
      <c r="N878" t="s">
        <v>1594</v>
      </c>
    </row>
    <row r="879" spans="1:14" x14ac:dyDescent="0.25">
      <c r="A879" t="s">
        <v>860</v>
      </c>
      <c r="B879" t="str">
        <f t="shared" si="26"/>
        <v>p__Bacteroidota</v>
      </c>
      <c r="C879" s="1">
        <v>26</v>
      </c>
      <c r="D879" s="3">
        <v>3358749</v>
      </c>
      <c r="E879" s="3">
        <f t="shared" si="27"/>
        <v>3.358749</v>
      </c>
      <c r="F879" s="1">
        <v>20722</v>
      </c>
      <c r="G879" s="2">
        <v>129182.7</v>
      </c>
      <c r="H879" s="1">
        <v>541379</v>
      </c>
      <c r="M879" t="s">
        <v>860</v>
      </c>
      <c r="N879" t="s">
        <v>1594</v>
      </c>
    </row>
    <row r="880" spans="1:14" x14ac:dyDescent="0.25">
      <c r="A880" t="s">
        <v>861</v>
      </c>
      <c r="B880" t="str">
        <f t="shared" si="26"/>
        <v>p__Bacteroidota</v>
      </c>
      <c r="C880" s="1">
        <v>31</v>
      </c>
      <c r="D880" s="3">
        <v>3236700</v>
      </c>
      <c r="E880" s="3">
        <f t="shared" si="27"/>
        <v>3.2366999999999999</v>
      </c>
      <c r="F880" s="1">
        <v>5790</v>
      </c>
      <c r="G880" s="2">
        <v>104409.7</v>
      </c>
      <c r="H880" s="1">
        <v>428546</v>
      </c>
      <c r="M880" t="s">
        <v>861</v>
      </c>
      <c r="N880" t="s">
        <v>1594</v>
      </c>
    </row>
    <row r="881" spans="1:14" x14ac:dyDescent="0.25">
      <c r="A881" t="s">
        <v>862</v>
      </c>
      <c r="B881" t="str">
        <f t="shared" si="26"/>
        <v>p__Bacteroidota</v>
      </c>
      <c r="C881" s="1">
        <v>24</v>
      </c>
      <c r="D881" s="3">
        <v>3779337</v>
      </c>
      <c r="E881" s="3">
        <f t="shared" si="27"/>
        <v>3.7793369999999999</v>
      </c>
      <c r="F881" s="1">
        <v>3401</v>
      </c>
      <c r="G881" s="2">
        <v>157472.4</v>
      </c>
      <c r="H881" s="1">
        <v>563894</v>
      </c>
      <c r="M881" t="s">
        <v>862</v>
      </c>
      <c r="N881" t="s">
        <v>1594</v>
      </c>
    </row>
    <row r="882" spans="1:14" x14ac:dyDescent="0.25">
      <c r="A882" t="s">
        <v>863</v>
      </c>
      <c r="B882" t="str">
        <f t="shared" si="26"/>
        <v>p__Bacteroidota</v>
      </c>
      <c r="C882" s="1">
        <v>12</v>
      </c>
      <c r="D882" s="3">
        <v>6216273</v>
      </c>
      <c r="E882" s="3">
        <f t="shared" si="27"/>
        <v>6.2162730000000002</v>
      </c>
      <c r="F882" s="1">
        <v>21410</v>
      </c>
      <c r="G882" s="2">
        <v>518022.8</v>
      </c>
      <c r="H882" s="1">
        <v>1777489</v>
      </c>
      <c r="M882" t="s">
        <v>863</v>
      </c>
      <c r="N882" t="s">
        <v>1594</v>
      </c>
    </row>
    <row r="883" spans="1:14" x14ac:dyDescent="0.25">
      <c r="A883" t="s">
        <v>864</v>
      </c>
      <c r="B883" t="str">
        <f t="shared" si="26"/>
        <v>p__Bacteroidota</v>
      </c>
      <c r="C883" s="1">
        <v>16</v>
      </c>
      <c r="D883" s="3">
        <v>3147320</v>
      </c>
      <c r="E883" s="3">
        <f t="shared" si="27"/>
        <v>3.1473200000000001</v>
      </c>
      <c r="F883" s="1">
        <v>3306</v>
      </c>
      <c r="G883" s="2">
        <v>196707.5</v>
      </c>
      <c r="H883" s="1">
        <v>611021</v>
      </c>
      <c r="M883" t="s">
        <v>864</v>
      </c>
      <c r="N883" t="s">
        <v>1594</v>
      </c>
    </row>
    <row r="884" spans="1:14" x14ac:dyDescent="0.25">
      <c r="A884" t="s">
        <v>865</v>
      </c>
      <c r="B884" t="str">
        <f t="shared" si="26"/>
        <v>p__Bacteroidota</v>
      </c>
      <c r="C884" s="1">
        <v>42</v>
      </c>
      <c r="D884" s="3">
        <v>4423089</v>
      </c>
      <c r="E884" s="3">
        <f t="shared" si="27"/>
        <v>4.423089</v>
      </c>
      <c r="F884" s="1">
        <v>2062</v>
      </c>
      <c r="G884" s="2">
        <v>105311.6</v>
      </c>
      <c r="H884" s="1">
        <v>413326</v>
      </c>
      <c r="M884" t="s">
        <v>865</v>
      </c>
      <c r="N884" t="s">
        <v>1594</v>
      </c>
    </row>
    <row r="885" spans="1:14" x14ac:dyDescent="0.25">
      <c r="A885" t="s">
        <v>866</v>
      </c>
      <c r="B885" t="str">
        <f t="shared" si="26"/>
        <v>p__Bacteroidota</v>
      </c>
      <c r="C885" s="1">
        <v>39</v>
      </c>
      <c r="D885" s="3">
        <v>3655859</v>
      </c>
      <c r="E885" s="3">
        <f t="shared" si="27"/>
        <v>3.655859</v>
      </c>
      <c r="F885" s="1">
        <v>2078</v>
      </c>
      <c r="G885" s="1">
        <v>93740</v>
      </c>
      <c r="H885" s="1">
        <v>392437</v>
      </c>
      <c r="M885" t="s">
        <v>866</v>
      </c>
      <c r="N885" t="s">
        <v>1594</v>
      </c>
    </row>
    <row r="886" spans="1:14" x14ac:dyDescent="0.25">
      <c r="A886" t="s">
        <v>867</v>
      </c>
      <c r="B886" t="str">
        <f t="shared" si="26"/>
        <v>p__Bacteroidota</v>
      </c>
      <c r="C886" s="1">
        <v>72</v>
      </c>
      <c r="D886" s="3">
        <v>4984592</v>
      </c>
      <c r="E886" s="3">
        <f t="shared" si="27"/>
        <v>4.9845920000000001</v>
      </c>
      <c r="F886" s="1">
        <v>3908</v>
      </c>
      <c r="G886" s="2">
        <v>69230.399999999994</v>
      </c>
      <c r="H886" s="1">
        <v>357849</v>
      </c>
      <c r="M886" t="s">
        <v>867</v>
      </c>
      <c r="N886" t="s">
        <v>1594</v>
      </c>
    </row>
    <row r="887" spans="1:14" x14ac:dyDescent="0.25">
      <c r="A887" t="s">
        <v>868</v>
      </c>
      <c r="B887" t="str">
        <f t="shared" si="26"/>
        <v>p__Bacteroidota</v>
      </c>
      <c r="C887" s="1">
        <v>55</v>
      </c>
      <c r="D887" s="3">
        <v>4191099</v>
      </c>
      <c r="E887" s="3">
        <f t="shared" si="27"/>
        <v>4.1910990000000004</v>
      </c>
      <c r="F887" s="1">
        <v>4119</v>
      </c>
      <c r="G887" s="2">
        <v>76201.8</v>
      </c>
      <c r="H887" s="1">
        <v>295861</v>
      </c>
      <c r="M887" t="s">
        <v>868</v>
      </c>
      <c r="N887" t="s">
        <v>1594</v>
      </c>
    </row>
    <row r="888" spans="1:14" x14ac:dyDescent="0.25">
      <c r="A888" t="s">
        <v>869</v>
      </c>
      <c r="B888" t="str">
        <f t="shared" si="26"/>
        <v>p__Bacteroidota</v>
      </c>
      <c r="C888" s="1">
        <v>58</v>
      </c>
      <c r="D888" s="3">
        <v>3750773</v>
      </c>
      <c r="E888" s="3">
        <f t="shared" si="27"/>
        <v>3.7507730000000001</v>
      </c>
      <c r="F888" s="1">
        <v>2009</v>
      </c>
      <c r="G888" s="2">
        <v>64668.5</v>
      </c>
      <c r="H888" s="1">
        <v>469191</v>
      </c>
      <c r="M888" t="s">
        <v>869</v>
      </c>
      <c r="N888" t="s">
        <v>1594</v>
      </c>
    </row>
    <row r="889" spans="1:14" x14ac:dyDescent="0.25">
      <c r="A889" t="s">
        <v>870</v>
      </c>
      <c r="B889" t="str">
        <f t="shared" si="26"/>
        <v>p__Bacteroidota</v>
      </c>
      <c r="C889" s="1">
        <v>20</v>
      </c>
      <c r="D889" s="3">
        <v>4026999</v>
      </c>
      <c r="E889" s="3">
        <f t="shared" si="27"/>
        <v>4.026999</v>
      </c>
      <c r="F889" s="1">
        <v>5800</v>
      </c>
      <c r="G889" s="1">
        <v>201350</v>
      </c>
      <c r="H889" s="1">
        <v>692428</v>
      </c>
      <c r="M889" t="s">
        <v>870</v>
      </c>
      <c r="N889" t="s">
        <v>1594</v>
      </c>
    </row>
    <row r="890" spans="1:14" x14ac:dyDescent="0.25">
      <c r="A890" t="s">
        <v>871</v>
      </c>
      <c r="B890" t="str">
        <f t="shared" si="26"/>
        <v>p__Bacteroidota</v>
      </c>
      <c r="C890" s="1">
        <v>31</v>
      </c>
      <c r="D890" s="3">
        <v>3830353</v>
      </c>
      <c r="E890" s="3">
        <f t="shared" si="27"/>
        <v>3.8303530000000001</v>
      </c>
      <c r="F890" s="1">
        <v>4565</v>
      </c>
      <c r="G890" s="2">
        <v>123559.8</v>
      </c>
      <c r="H890" s="1">
        <v>734964</v>
      </c>
      <c r="M890" t="s">
        <v>871</v>
      </c>
      <c r="N890" t="s">
        <v>1594</v>
      </c>
    </row>
    <row r="891" spans="1:14" x14ac:dyDescent="0.25">
      <c r="A891" t="s">
        <v>872</v>
      </c>
      <c r="B891" t="str">
        <f t="shared" si="26"/>
        <v>p__Bacteroidota</v>
      </c>
      <c r="C891" s="1">
        <v>14</v>
      </c>
      <c r="D891" s="3">
        <v>5371082</v>
      </c>
      <c r="E891" s="3">
        <f t="shared" si="27"/>
        <v>5.3710820000000004</v>
      </c>
      <c r="F891" s="1">
        <v>16528</v>
      </c>
      <c r="G891" s="2">
        <v>383648.7</v>
      </c>
      <c r="H891" s="1">
        <v>977223</v>
      </c>
      <c r="M891" t="s">
        <v>872</v>
      </c>
      <c r="N891" t="s">
        <v>1594</v>
      </c>
    </row>
    <row r="892" spans="1:14" x14ac:dyDescent="0.25">
      <c r="A892" t="s">
        <v>873</v>
      </c>
      <c r="B892" t="str">
        <f t="shared" si="26"/>
        <v>p__Bacteroidota</v>
      </c>
      <c r="C892" s="1">
        <v>12</v>
      </c>
      <c r="D892" s="3">
        <v>3118888</v>
      </c>
      <c r="E892" s="3">
        <f t="shared" si="27"/>
        <v>3.1188880000000001</v>
      </c>
      <c r="F892" s="1">
        <v>15826</v>
      </c>
      <c r="G892" s="2">
        <v>259907.3</v>
      </c>
      <c r="H892" s="1">
        <v>1206213</v>
      </c>
      <c r="M892" t="s">
        <v>873</v>
      </c>
      <c r="N892" t="s">
        <v>1594</v>
      </c>
    </row>
    <row r="893" spans="1:14" x14ac:dyDescent="0.25">
      <c r="A893" t="s">
        <v>874</v>
      </c>
      <c r="B893" t="str">
        <f t="shared" si="26"/>
        <v>p__Bacteroidota</v>
      </c>
      <c r="C893" s="1">
        <v>44</v>
      </c>
      <c r="D893" s="3">
        <v>3403116</v>
      </c>
      <c r="E893" s="3">
        <f t="shared" si="27"/>
        <v>3.4031159999999998</v>
      </c>
      <c r="F893" s="1">
        <v>8620</v>
      </c>
      <c r="G893" s="2">
        <v>77343.5</v>
      </c>
      <c r="H893" s="1">
        <v>326978</v>
      </c>
      <c r="M893" t="s">
        <v>874</v>
      </c>
      <c r="N893" t="s">
        <v>1594</v>
      </c>
    </row>
    <row r="894" spans="1:14" x14ac:dyDescent="0.25">
      <c r="A894" t="s">
        <v>875</v>
      </c>
      <c r="B894" t="str">
        <f t="shared" si="26"/>
        <v>p__Bacteroidota</v>
      </c>
      <c r="C894" s="1">
        <v>8</v>
      </c>
      <c r="D894" s="3">
        <v>2180087</v>
      </c>
      <c r="E894" s="3">
        <f t="shared" si="27"/>
        <v>2.1800869999999999</v>
      </c>
      <c r="F894" s="1">
        <v>65232</v>
      </c>
      <c r="G894" s="2">
        <v>272510.90000000002</v>
      </c>
      <c r="H894" s="1">
        <v>591613</v>
      </c>
      <c r="M894" t="s">
        <v>875</v>
      </c>
      <c r="N894" t="s">
        <v>1594</v>
      </c>
    </row>
    <row r="895" spans="1:14" x14ac:dyDescent="0.25">
      <c r="A895" t="s">
        <v>876</v>
      </c>
      <c r="B895" t="str">
        <f t="shared" si="26"/>
        <v>p__Bacteroidota</v>
      </c>
      <c r="C895" s="1">
        <v>22</v>
      </c>
      <c r="D895" s="3">
        <v>1971827</v>
      </c>
      <c r="E895" s="3">
        <f t="shared" si="27"/>
        <v>1.971827</v>
      </c>
      <c r="F895" s="1">
        <v>5896</v>
      </c>
      <c r="G895" s="2">
        <v>89628.5</v>
      </c>
      <c r="H895" s="1">
        <v>366717</v>
      </c>
      <c r="M895" t="s">
        <v>876</v>
      </c>
      <c r="N895" t="s">
        <v>1594</v>
      </c>
    </row>
    <row r="896" spans="1:14" x14ac:dyDescent="0.25">
      <c r="A896" t="s">
        <v>877</v>
      </c>
      <c r="B896" t="str">
        <f t="shared" si="26"/>
        <v>p__Bacteroidota</v>
      </c>
      <c r="C896" s="1">
        <v>49</v>
      </c>
      <c r="D896" s="3">
        <v>2444336</v>
      </c>
      <c r="E896" s="3">
        <f t="shared" si="27"/>
        <v>2.4443359999999998</v>
      </c>
      <c r="F896" s="1">
        <v>3697</v>
      </c>
      <c r="G896" s="2">
        <v>49884.4</v>
      </c>
      <c r="H896" s="1">
        <v>233877</v>
      </c>
      <c r="M896" t="s">
        <v>877</v>
      </c>
      <c r="N896" t="s">
        <v>1594</v>
      </c>
    </row>
    <row r="897" spans="1:14" x14ac:dyDescent="0.25">
      <c r="A897" t="s">
        <v>878</v>
      </c>
      <c r="B897" t="str">
        <f t="shared" si="26"/>
        <v>p__Bacteroidota</v>
      </c>
      <c r="C897" s="1">
        <v>26</v>
      </c>
      <c r="D897" s="3">
        <v>1499343</v>
      </c>
      <c r="E897" s="3">
        <f t="shared" si="27"/>
        <v>1.4993430000000001</v>
      </c>
      <c r="F897" s="1">
        <v>8063</v>
      </c>
      <c r="G897" s="1">
        <v>57667</v>
      </c>
      <c r="H897" s="1">
        <v>140516</v>
      </c>
      <c r="M897" t="s">
        <v>878</v>
      </c>
      <c r="N897" t="s">
        <v>1594</v>
      </c>
    </row>
    <row r="898" spans="1:14" x14ac:dyDescent="0.25">
      <c r="A898" t="s">
        <v>879</v>
      </c>
      <c r="B898" t="str">
        <f t="shared" ref="B898:B961" si="28">VLOOKUP(A898,M:N,2,FALSE)</f>
        <v>p__Bacteroidota</v>
      </c>
      <c r="C898" s="1">
        <v>68</v>
      </c>
      <c r="D898" s="3">
        <v>2949822</v>
      </c>
      <c r="E898" s="3">
        <f t="shared" ref="E898:E961" si="29">D898/1000000</f>
        <v>2.9498220000000002</v>
      </c>
      <c r="F898" s="1">
        <v>2523</v>
      </c>
      <c r="G898" s="2">
        <v>43379.7</v>
      </c>
      <c r="H898" s="1">
        <v>251612</v>
      </c>
      <c r="M898" t="s">
        <v>879</v>
      </c>
      <c r="N898" t="s">
        <v>1594</v>
      </c>
    </row>
    <row r="899" spans="1:14" x14ac:dyDescent="0.25">
      <c r="A899" t="s">
        <v>880</v>
      </c>
      <c r="B899" t="str">
        <f t="shared" si="28"/>
        <v>p__Bacteroidota</v>
      </c>
      <c r="C899" s="1">
        <v>24</v>
      </c>
      <c r="D899" s="3">
        <v>3480195</v>
      </c>
      <c r="E899" s="3">
        <f t="shared" si="29"/>
        <v>3.4801950000000001</v>
      </c>
      <c r="F899" s="1">
        <v>17100</v>
      </c>
      <c r="G899" s="2">
        <v>145008.1</v>
      </c>
      <c r="H899" s="1">
        <v>473823</v>
      </c>
      <c r="M899" t="s">
        <v>880</v>
      </c>
      <c r="N899" t="s">
        <v>1594</v>
      </c>
    </row>
    <row r="900" spans="1:14" x14ac:dyDescent="0.25">
      <c r="A900" t="s">
        <v>881</v>
      </c>
      <c r="B900" t="str">
        <f t="shared" si="28"/>
        <v>p__Bacteroidota</v>
      </c>
      <c r="C900" s="1">
        <v>33</v>
      </c>
      <c r="D900" s="3">
        <v>3360777</v>
      </c>
      <c r="E900" s="3">
        <f t="shared" si="29"/>
        <v>3.3607770000000001</v>
      </c>
      <c r="F900" s="1">
        <v>5175</v>
      </c>
      <c r="G900" s="2">
        <v>101841.7</v>
      </c>
      <c r="H900" s="1">
        <v>390811</v>
      </c>
      <c r="M900" t="s">
        <v>881</v>
      </c>
      <c r="N900" t="s">
        <v>1594</v>
      </c>
    </row>
    <row r="901" spans="1:14" x14ac:dyDescent="0.25">
      <c r="A901" t="s">
        <v>882</v>
      </c>
      <c r="B901" t="str">
        <f t="shared" si="28"/>
        <v>p__Bacteroidota</v>
      </c>
      <c r="C901" s="1">
        <v>15</v>
      </c>
      <c r="D901" s="3">
        <v>1741031</v>
      </c>
      <c r="E901" s="3">
        <f t="shared" si="29"/>
        <v>1.741031</v>
      </c>
      <c r="F901" s="1">
        <v>48517</v>
      </c>
      <c r="G901" s="2">
        <v>116068.7</v>
      </c>
      <c r="H901" s="1">
        <v>289126</v>
      </c>
      <c r="M901" t="s">
        <v>882</v>
      </c>
      <c r="N901" t="s">
        <v>1594</v>
      </c>
    </row>
    <row r="902" spans="1:14" x14ac:dyDescent="0.25">
      <c r="A902" t="s">
        <v>883</v>
      </c>
      <c r="B902" t="str">
        <f t="shared" si="28"/>
        <v>p__Bacteroidota</v>
      </c>
      <c r="C902" s="1">
        <v>34</v>
      </c>
      <c r="D902" s="3">
        <v>1599596</v>
      </c>
      <c r="E902" s="3">
        <f t="shared" si="29"/>
        <v>1.599596</v>
      </c>
      <c r="F902" s="1">
        <v>8313</v>
      </c>
      <c r="G902" s="2">
        <v>47046.9</v>
      </c>
      <c r="H902" s="1">
        <v>121647</v>
      </c>
      <c r="M902" t="s">
        <v>883</v>
      </c>
      <c r="N902" t="s">
        <v>1594</v>
      </c>
    </row>
    <row r="903" spans="1:14" x14ac:dyDescent="0.25">
      <c r="A903" t="s">
        <v>884</v>
      </c>
      <c r="B903" t="str">
        <f t="shared" si="28"/>
        <v>p__Bacteroidota</v>
      </c>
      <c r="C903" s="1">
        <v>13</v>
      </c>
      <c r="D903" s="3">
        <v>4108978</v>
      </c>
      <c r="E903" s="3">
        <f t="shared" si="29"/>
        <v>4.1089779999999996</v>
      </c>
      <c r="F903" s="1">
        <v>10621</v>
      </c>
      <c r="G903" s="2">
        <v>316075.2</v>
      </c>
      <c r="H903" s="1">
        <v>1142511</v>
      </c>
      <c r="M903" t="s">
        <v>884</v>
      </c>
      <c r="N903" t="s">
        <v>1594</v>
      </c>
    </row>
    <row r="904" spans="1:14" x14ac:dyDescent="0.25">
      <c r="A904" t="s">
        <v>885</v>
      </c>
      <c r="B904" t="str">
        <f t="shared" si="28"/>
        <v>p__Bacteroidota</v>
      </c>
      <c r="C904" s="1">
        <v>10</v>
      </c>
      <c r="D904" s="3">
        <v>3742915</v>
      </c>
      <c r="E904" s="3">
        <f t="shared" si="29"/>
        <v>3.742915</v>
      </c>
      <c r="F904" s="1">
        <v>103166</v>
      </c>
      <c r="G904" s="2">
        <v>374291.5</v>
      </c>
      <c r="H904" s="1">
        <v>892911</v>
      </c>
      <c r="M904" t="s">
        <v>885</v>
      </c>
      <c r="N904" t="s">
        <v>1594</v>
      </c>
    </row>
    <row r="905" spans="1:14" x14ac:dyDescent="0.25">
      <c r="A905" t="s">
        <v>886</v>
      </c>
      <c r="B905" t="str">
        <f t="shared" si="28"/>
        <v>p__Bacteroidota</v>
      </c>
      <c r="C905" s="1">
        <v>24</v>
      </c>
      <c r="D905" s="3">
        <v>4761197</v>
      </c>
      <c r="E905" s="3">
        <f t="shared" si="29"/>
        <v>4.7611970000000001</v>
      </c>
      <c r="F905" s="1">
        <v>6826</v>
      </c>
      <c r="G905" s="2">
        <v>198383.2</v>
      </c>
      <c r="H905" s="1">
        <v>772701</v>
      </c>
      <c r="M905" t="s">
        <v>886</v>
      </c>
      <c r="N905" t="s">
        <v>1594</v>
      </c>
    </row>
    <row r="906" spans="1:14" x14ac:dyDescent="0.25">
      <c r="A906" t="s">
        <v>887</v>
      </c>
      <c r="B906" t="str">
        <f t="shared" si="28"/>
        <v>p__Bacteroidota</v>
      </c>
      <c r="C906" s="1">
        <v>3</v>
      </c>
      <c r="D906" s="3">
        <v>2656726</v>
      </c>
      <c r="E906" s="3">
        <f t="shared" si="29"/>
        <v>2.6567259999999999</v>
      </c>
      <c r="F906" s="1">
        <v>179309</v>
      </c>
      <c r="G906" s="2">
        <v>885575.3</v>
      </c>
      <c r="H906" s="1">
        <v>1918869</v>
      </c>
      <c r="M906" t="s">
        <v>887</v>
      </c>
      <c r="N906" t="s">
        <v>1594</v>
      </c>
    </row>
    <row r="907" spans="1:14" x14ac:dyDescent="0.25">
      <c r="A907" t="s">
        <v>888</v>
      </c>
      <c r="B907" t="str">
        <f t="shared" si="28"/>
        <v>p__Bacteroidota</v>
      </c>
      <c r="C907" s="1">
        <v>19</v>
      </c>
      <c r="D907" s="3">
        <v>3808580</v>
      </c>
      <c r="E907" s="3">
        <f t="shared" si="29"/>
        <v>3.8085800000000001</v>
      </c>
      <c r="F907" s="1">
        <v>34862</v>
      </c>
      <c r="G907" s="2">
        <v>200451.6</v>
      </c>
      <c r="H907" s="1">
        <v>1033909</v>
      </c>
      <c r="M907" t="s">
        <v>888</v>
      </c>
      <c r="N907" t="s">
        <v>1594</v>
      </c>
    </row>
    <row r="908" spans="1:14" x14ac:dyDescent="0.25">
      <c r="A908" t="s">
        <v>889</v>
      </c>
      <c r="B908" t="str">
        <f t="shared" si="28"/>
        <v>p__Bacteroidota</v>
      </c>
      <c r="C908" s="1">
        <v>10</v>
      </c>
      <c r="D908" s="3">
        <v>2736352</v>
      </c>
      <c r="E908" s="3">
        <f t="shared" si="29"/>
        <v>2.7363520000000001</v>
      </c>
      <c r="F908" s="1">
        <v>37482</v>
      </c>
      <c r="G908" s="2">
        <v>273635.20000000001</v>
      </c>
      <c r="H908" s="1">
        <v>915300</v>
      </c>
      <c r="M908" t="s">
        <v>889</v>
      </c>
      <c r="N908" t="s">
        <v>1594</v>
      </c>
    </row>
    <row r="909" spans="1:14" x14ac:dyDescent="0.25">
      <c r="A909" t="s">
        <v>890</v>
      </c>
      <c r="B909" t="str">
        <f t="shared" si="28"/>
        <v>p__Bacteroidota</v>
      </c>
      <c r="C909" s="1">
        <v>48</v>
      </c>
      <c r="D909" s="3">
        <v>1862203</v>
      </c>
      <c r="E909" s="3">
        <f t="shared" si="29"/>
        <v>1.8622030000000001</v>
      </c>
      <c r="F909" s="1">
        <v>7890</v>
      </c>
      <c r="G909" s="2">
        <v>38795.9</v>
      </c>
      <c r="H909" s="1">
        <v>122886</v>
      </c>
      <c r="M909" t="s">
        <v>890</v>
      </c>
      <c r="N909" t="s">
        <v>1594</v>
      </c>
    </row>
    <row r="910" spans="1:14" x14ac:dyDescent="0.25">
      <c r="A910" t="s">
        <v>891</v>
      </c>
      <c r="B910" t="str">
        <f t="shared" si="28"/>
        <v>p__Bacteroidota</v>
      </c>
      <c r="C910" s="1">
        <v>7</v>
      </c>
      <c r="D910" s="3">
        <v>1876659</v>
      </c>
      <c r="E910" s="3">
        <f t="shared" si="29"/>
        <v>1.8766590000000001</v>
      </c>
      <c r="F910" s="1">
        <v>11062</v>
      </c>
      <c r="G910" s="2">
        <v>268094.09999999998</v>
      </c>
      <c r="H910" s="1">
        <v>1194105</v>
      </c>
      <c r="M910" t="s">
        <v>891</v>
      </c>
      <c r="N910" t="s">
        <v>1594</v>
      </c>
    </row>
    <row r="911" spans="1:14" x14ac:dyDescent="0.25">
      <c r="A911" t="s">
        <v>892</v>
      </c>
      <c r="B911" t="str">
        <f t="shared" si="28"/>
        <v>p__Bacteroidota</v>
      </c>
      <c r="C911" s="1">
        <v>46</v>
      </c>
      <c r="D911" s="3">
        <v>1838168</v>
      </c>
      <c r="E911" s="3">
        <f t="shared" si="29"/>
        <v>1.838168</v>
      </c>
      <c r="F911" s="1">
        <v>2566</v>
      </c>
      <c r="G911" s="2">
        <v>39960.199999999997</v>
      </c>
      <c r="H911" s="1">
        <v>301052</v>
      </c>
      <c r="M911" t="s">
        <v>892</v>
      </c>
      <c r="N911" t="s">
        <v>1594</v>
      </c>
    </row>
    <row r="912" spans="1:14" x14ac:dyDescent="0.25">
      <c r="A912" t="s">
        <v>893</v>
      </c>
      <c r="B912" t="str">
        <f t="shared" si="28"/>
        <v>p__Bacteroidota</v>
      </c>
      <c r="C912" s="1">
        <v>5</v>
      </c>
      <c r="D912" s="3">
        <v>2487200</v>
      </c>
      <c r="E912" s="3">
        <f t="shared" si="29"/>
        <v>2.4872000000000001</v>
      </c>
      <c r="F912" s="1">
        <v>34279</v>
      </c>
      <c r="G912" s="1">
        <v>497440</v>
      </c>
      <c r="H912" s="1">
        <v>1052582</v>
      </c>
      <c r="M912" t="s">
        <v>893</v>
      </c>
      <c r="N912" t="s">
        <v>1594</v>
      </c>
    </row>
    <row r="913" spans="1:14" x14ac:dyDescent="0.25">
      <c r="A913" t="s">
        <v>894</v>
      </c>
      <c r="B913" t="str">
        <f t="shared" si="28"/>
        <v>p__Bacteroidota</v>
      </c>
      <c r="C913" s="1">
        <v>39</v>
      </c>
      <c r="D913" s="3">
        <v>2515288</v>
      </c>
      <c r="E913" s="3">
        <f t="shared" si="29"/>
        <v>2.515288</v>
      </c>
      <c r="F913" s="1">
        <v>6620</v>
      </c>
      <c r="G913" s="2">
        <v>64494.6</v>
      </c>
      <c r="H913" s="1">
        <v>433066</v>
      </c>
      <c r="M913" t="s">
        <v>894</v>
      </c>
      <c r="N913" t="s">
        <v>1594</v>
      </c>
    </row>
    <row r="914" spans="1:14" x14ac:dyDescent="0.25">
      <c r="A914" t="s">
        <v>895</v>
      </c>
      <c r="B914" t="str">
        <f t="shared" si="28"/>
        <v>p__Bacteroidota</v>
      </c>
      <c r="C914" s="1">
        <v>24</v>
      </c>
      <c r="D914" s="3">
        <v>3454305</v>
      </c>
      <c r="E914" s="3">
        <f t="shared" si="29"/>
        <v>3.4543050000000002</v>
      </c>
      <c r="F914" s="1">
        <v>2036</v>
      </c>
      <c r="G914" s="2">
        <v>143929.4</v>
      </c>
      <c r="H914" s="1">
        <v>914280</v>
      </c>
      <c r="M914" t="s">
        <v>895</v>
      </c>
      <c r="N914" t="s">
        <v>1594</v>
      </c>
    </row>
    <row r="915" spans="1:14" x14ac:dyDescent="0.25">
      <c r="A915" t="s">
        <v>896</v>
      </c>
      <c r="B915" t="str">
        <f t="shared" si="28"/>
        <v>p__Bacteroidota</v>
      </c>
      <c r="C915" s="1">
        <v>36</v>
      </c>
      <c r="D915" s="3">
        <v>2911786</v>
      </c>
      <c r="E915" s="3">
        <f t="shared" si="29"/>
        <v>2.9117860000000002</v>
      </c>
      <c r="F915" s="1">
        <v>2418</v>
      </c>
      <c r="G915" s="2">
        <v>80882.899999999994</v>
      </c>
      <c r="H915" s="1">
        <v>326692</v>
      </c>
      <c r="M915" t="s">
        <v>896</v>
      </c>
      <c r="N915" t="s">
        <v>1594</v>
      </c>
    </row>
    <row r="916" spans="1:14" x14ac:dyDescent="0.25">
      <c r="A916" t="s">
        <v>897</v>
      </c>
      <c r="B916" t="str">
        <f t="shared" si="28"/>
        <v>p__Bacteroidota</v>
      </c>
      <c r="C916" s="1">
        <v>92</v>
      </c>
      <c r="D916" s="3">
        <v>2750462</v>
      </c>
      <c r="E916" s="3">
        <f t="shared" si="29"/>
        <v>2.7504620000000002</v>
      </c>
      <c r="F916" s="1">
        <v>2002</v>
      </c>
      <c r="G916" s="2">
        <v>29896.3</v>
      </c>
      <c r="H916" s="1">
        <v>223625</v>
      </c>
      <c r="M916" t="s">
        <v>897</v>
      </c>
      <c r="N916" t="s">
        <v>1594</v>
      </c>
    </row>
    <row r="917" spans="1:14" x14ac:dyDescent="0.25">
      <c r="A917" t="s">
        <v>898</v>
      </c>
      <c r="B917" t="str">
        <f t="shared" si="28"/>
        <v>p__Bacteroidota</v>
      </c>
      <c r="C917" s="1">
        <v>24</v>
      </c>
      <c r="D917" s="3">
        <v>3259151</v>
      </c>
      <c r="E917" s="3">
        <f t="shared" si="29"/>
        <v>3.2591510000000001</v>
      </c>
      <c r="F917" s="1">
        <v>8948</v>
      </c>
      <c r="G917" s="1">
        <v>135798</v>
      </c>
      <c r="H917" s="1">
        <v>471920</v>
      </c>
      <c r="M917" t="s">
        <v>898</v>
      </c>
      <c r="N917" t="s">
        <v>1594</v>
      </c>
    </row>
    <row r="918" spans="1:14" x14ac:dyDescent="0.25">
      <c r="A918" t="s">
        <v>899</v>
      </c>
      <c r="B918" t="str">
        <f t="shared" si="28"/>
        <v>p__Bacteroidota</v>
      </c>
      <c r="C918" s="1">
        <v>94</v>
      </c>
      <c r="D918" s="3">
        <v>2101238</v>
      </c>
      <c r="E918" s="3">
        <f t="shared" si="29"/>
        <v>2.1012379999999999</v>
      </c>
      <c r="F918" s="1">
        <v>2009</v>
      </c>
      <c r="G918" s="2">
        <v>22353.599999999999</v>
      </c>
      <c r="H918" s="1">
        <v>261924</v>
      </c>
      <c r="M918" t="s">
        <v>899</v>
      </c>
      <c r="N918" t="s">
        <v>1594</v>
      </c>
    </row>
    <row r="919" spans="1:14" x14ac:dyDescent="0.25">
      <c r="A919" t="s">
        <v>900</v>
      </c>
      <c r="B919" t="str">
        <f t="shared" si="28"/>
        <v>p__Bacteroidota</v>
      </c>
      <c r="C919" s="1">
        <v>192</v>
      </c>
      <c r="D919" s="3">
        <v>2571763</v>
      </c>
      <c r="E919" s="3">
        <f t="shared" si="29"/>
        <v>2.5717629999999998</v>
      </c>
      <c r="F919" s="2">
        <v>2010</v>
      </c>
      <c r="G919" s="1">
        <v>13394.6</v>
      </c>
      <c r="H919" s="1">
        <v>196966</v>
      </c>
      <c r="M919" t="s">
        <v>900</v>
      </c>
      <c r="N919" t="s">
        <v>1594</v>
      </c>
    </row>
    <row r="920" spans="1:14" x14ac:dyDescent="0.25">
      <c r="A920" t="s">
        <v>901</v>
      </c>
      <c r="B920" t="str">
        <f t="shared" si="28"/>
        <v>p__Bacteroidota</v>
      </c>
      <c r="C920" s="1">
        <v>38</v>
      </c>
      <c r="D920" s="3">
        <v>2280477</v>
      </c>
      <c r="E920" s="3">
        <f t="shared" si="29"/>
        <v>2.2804769999999999</v>
      </c>
      <c r="F920" s="1">
        <v>3100</v>
      </c>
      <c r="G920" s="2">
        <v>60012.6</v>
      </c>
      <c r="H920" s="1">
        <v>257306</v>
      </c>
      <c r="M920" t="s">
        <v>901</v>
      </c>
      <c r="N920" t="s">
        <v>1594</v>
      </c>
    </row>
    <row r="921" spans="1:14" x14ac:dyDescent="0.25">
      <c r="A921" t="s">
        <v>902</v>
      </c>
      <c r="B921" t="str">
        <f t="shared" si="28"/>
        <v>p__Bacteroidota</v>
      </c>
      <c r="C921" s="1">
        <v>30</v>
      </c>
      <c r="D921" s="3">
        <v>2179406</v>
      </c>
      <c r="E921" s="3">
        <f t="shared" si="29"/>
        <v>2.1794060000000002</v>
      </c>
      <c r="F921" s="1">
        <v>5367</v>
      </c>
      <c r="G921" s="2">
        <v>72646.899999999994</v>
      </c>
      <c r="H921" s="1">
        <v>261829</v>
      </c>
      <c r="M921" t="s">
        <v>902</v>
      </c>
      <c r="N921" t="s">
        <v>1594</v>
      </c>
    </row>
    <row r="922" spans="1:14" x14ac:dyDescent="0.25">
      <c r="A922" t="s">
        <v>903</v>
      </c>
      <c r="B922" t="str">
        <f t="shared" si="28"/>
        <v>p__Bacteroidota</v>
      </c>
      <c r="C922" s="1">
        <v>20</v>
      </c>
      <c r="D922" s="3">
        <v>2240035</v>
      </c>
      <c r="E922" s="3">
        <f t="shared" si="29"/>
        <v>2.2400350000000002</v>
      </c>
      <c r="F922" s="1">
        <v>4455</v>
      </c>
      <c r="G922" s="2">
        <v>112001.8</v>
      </c>
      <c r="H922" s="1">
        <v>328461</v>
      </c>
      <c r="M922" t="s">
        <v>903</v>
      </c>
      <c r="N922" t="s">
        <v>1594</v>
      </c>
    </row>
    <row r="923" spans="1:14" x14ac:dyDescent="0.25">
      <c r="A923" t="s">
        <v>904</v>
      </c>
      <c r="B923" t="str">
        <f t="shared" si="28"/>
        <v>p__Bacteroidota</v>
      </c>
      <c r="C923" s="1">
        <v>12</v>
      </c>
      <c r="D923" s="3">
        <v>2975390</v>
      </c>
      <c r="E923" s="3">
        <f t="shared" si="29"/>
        <v>2.97539</v>
      </c>
      <c r="F923" s="1">
        <v>11467</v>
      </c>
      <c r="G923" s="2">
        <v>247949.2</v>
      </c>
      <c r="H923" s="1">
        <v>1363481</v>
      </c>
      <c r="M923" t="s">
        <v>904</v>
      </c>
      <c r="N923" t="s">
        <v>1594</v>
      </c>
    </row>
    <row r="924" spans="1:14" x14ac:dyDescent="0.25">
      <c r="A924" t="s">
        <v>905</v>
      </c>
      <c r="B924" t="str">
        <f t="shared" si="28"/>
        <v>p__Bacteroidota</v>
      </c>
      <c r="C924" s="1">
        <v>91</v>
      </c>
      <c r="D924" s="3">
        <v>2283023</v>
      </c>
      <c r="E924" s="3">
        <f t="shared" si="29"/>
        <v>2.283023</v>
      </c>
      <c r="F924" s="1">
        <v>2002</v>
      </c>
      <c r="G924" s="2">
        <v>25088.2</v>
      </c>
      <c r="H924" s="1">
        <v>327554</v>
      </c>
      <c r="M924" t="s">
        <v>905</v>
      </c>
      <c r="N924" t="s">
        <v>1594</v>
      </c>
    </row>
    <row r="925" spans="1:14" x14ac:dyDescent="0.25">
      <c r="A925" t="s">
        <v>906</v>
      </c>
      <c r="B925" t="str">
        <f t="shared" si="28"/>
        <v>p__Bacteroidota</v>
      </c>
      <c r="C925" s="1">
        <v>31</v>
      </c>
      <c r="D925" s="3">
        <v>1442398</v>
      </c>
      <c r="E925" s="3">
        <f t="shared" si="29"/>
        <v>1.4423980000000001</v>
      </c>
      <c r="F925" s="1">
        <v>2229</v>
      </c>
      <c r="G925" s="1">
        <v>46529</v>
      </c>
      <c r="H925" s="1">
        <v>195025</v>
      </c>
      <c r="M925" t="s">
        <v>906</v>
      </c>
      <c r="N925" t="s">
        <v>1594</v>
      </c>
    </row>
    <row r="926" spans="1:14" x14ac:dyDescent="0.25">
      <c r="A926" t="s">
        <v>907</v>
      </c>
      <c r="B926" t="str">
        <f t="shared" si="28"/>
        <v>p__Bacteroidota</v>
      </c>
      <c r="C926" s="1">
        <v>7</v>
      </c>
      <c r="D926" s="3">
        <v>2937060</v>
      </c>
      <c r="E926" s="3">
        <f t="shared" si="29"/>
        <v>2.9370599999999998</v>
      </c>
      <c r="F926" s="1">
        <v>8679</v>
      </c>
      <c r="G926" s="1">
        <v>419580</v>
      </c>
      <c r="H926" s="1">
        <v>1264994</v>
      </c>
      <c r="M926" t="s">
        <v>907</v>
      </c>
      <c r="N926" t="s">
        <v>1594</v>
      </c>
    </row>
    <row r="927" spans="1:14" x14ac:dyDescent="0.25">
      <c r="A927" t="s">
        <v>908</v>
      </c>
      <c r="B927" t="str">
        <f t="shared" si="28"/>
        <v>p__Bacteroidota</v>
      </c>
      <c r="C927" s="1">
        <v>11</v>
      </c>
      <c r="D927" s="3">
        <v>2761099</v>
      </c>
      <c r="E927" s="3">
        <f t="shared" si="29"/>
        <v>2.7610990000000002</v>
      </c>
      <c r="F927" s="1">
        <v>11179</v>
      </c>
      <c r="G927" s="1">
        <v>251009</v>
      </c>
      <c r="H927" s="1">
        <v>1431730</v>
      </c>
      <c r="M927" t="s">
        <v>908</v>
      </c>
      <c r="N927" t="s">
        <v>1594</v>
      </c>
    </row>
    <row r="928" spans="1:14" x14ac:dyDescent="0.25">
      <c r="A928" t="s">
        <v>909</v>
      </c>
      <c r="B928" t="str">
        <f t="shared" si="28"/>
        <v>p__Bacteroidota</v>
      </c>
      <c r="C928" s="1">
        <v>23</v>
      </c>
      <c r="D928" s="3">
        <v>1434119</v>
      </c>
      <c r="E928" s="3">
        <f t="shared" si="29"/>
        <v>1.4341189999999999</v>
      </c>
      <c r="F928" s="1">
        <v>7882</v>
      </c>
      <c r="G928" s="1">
        <v>62353</v>
      </c>
      <c r="H928" s="1">
        <v>191696</v>
      </c>
      <c r="M928" t="s">
        <v>909</v>
      </c>
      <c r="N928" t="s">
        <v>1594</v>
      </c>
    </row>
    <row r="929" spans="1:14" x14ac:dyDescent="0.25">
      <c r="A929" t="s">
        <v>910</v>
      </c>
      <c r="B929" t="str">
        <f t="shared" si="28"/>
        <v>p__Bacteroidota</v>
      </c>
      <c r="C929" s="1">
        <v>249</v>
      </c>
      <c r="D929" s="3">
        <v>2240587</v>
      </c>
      <c r="E929" s="3">
        <f t="shared" si="29"/>
        <v>2.2405870000000001</v>
      </c>
      <c r="F929" s="2">
        <v>2002</v>
      </c>
      <c r="G929" s="1">
        <v>8998.2999999999993</v>
      </c>
      <c r="H929" s="1">
        <v>83192</v>
      </c>
      <c r="M929" t="s">
        <v>910</v>
      </c>
      <c r="N929" t="s">
        <v>1594</v>
      </c>
    </row>
    <row r="930" spans="1:14" x14ac:dyDescent="0.25">
      <c r="A930" t="s">
        <v>911</v>
      </c>
      <c r="B930" t="str">
        <f t="shared" si="28"/>
        <v>p__Bacteroidota</v>
      </c>
      <c r="C930" s="1">
        <v>40</v>
      </c>
      <c r="D930" s="3">
        <v>2600240</v>
      </c>
      <c r="E930" s="3">
        <f t="shared" si="29"/>
        <v>2.6002399999999999</v>
      </c>
      <c r="F930" s="1">
        <v>4263</v>
      </c>
      <c r="G930" s="1">
        <v>65006</v>
      </c>
      <c r="H930" s="1">
        <v>468734</v>
      </c>
      <c r="M930" t="s">
        <v>911</v>
      </c>
      <c r="N930" t="s">
        <v>1594</v>
      </c>
    </row>
    <row r="931" spans="1:14" x14ac:dyDescent="0.25">
      <c r="A931" t="s">
        <v>912</v>
      </c>
      <c r="B931" t="str">
        <f t="shared" si="28"/>
        <v>p__Bacteroidota</v>
      </c>
      <c r="C931" s="1">
        <v>8</v>
      </c>
      <c r="D931" s="3">
        <v>2644448</v>
      </c>
      <c r="E931" s="3">
        <f t="shared" si="29"/>
        <v>2.6444480000000001</v>
      </c>
      <c r="F931" s="1">
        <v>37099</v>
      </c>
      <c r="G931" s="1">
        <v>330556</v>
      </c>
      <c r="H931" s="1">
        <v>1395992</v>
      </c>
      <c r="M931" t="s">
        <v>912</v>
      </c>
      <c r="N931" t="s">
        <v>1594</v>
      </c>
    </row>
    <row r="932" spans="1:14" x14ac:dyDescent="0.25">
      <c r="A932" t="s">
        <v>913</v>
      </c>
      <c r="B932" t="str">
        <f t="shared" si="28"/>
        <v>p__Bacteroidota</v>
      </c>
      <c r="C932" s="1">
        <v>55</v>
      </c>
      <c r="D932" s="3">
        <v>3121674</v>
      </c>
      <c r="E932" s="3">
        <f t="shared" si="29"/>
        <v>3.1216740000000001</v>
      </c>
      <c r="F932" s="1">
        <v>2365</v>
      </c>
      <c r="G932" s="2">
        <v>56757.7</v>
      </c>
      <c r="H932" s="1">
        <v>381598</v>
      </c>
      <c r="M932" t="s">
        <v>913</v>
      </c>
      <c r="N932" t="s">
        <v>1594</v>
      </c>
    </row>
    <row r="933" spans="1:14" x14ac:dyDescent="0.25">
      <c r="A933" t="s">
        <v>914</v>
      </c>
      <c r="B933" t="str">
        <f t="shared" si="28"/>
        <v>p__Bacteroidota</v>
      </c>
      <c r="C933" s="1">
        <v>37</v>
      </c>
      <c r="D933" s="3">
        <v>2112570</v>
      </c>
      <c r="E933" s="3">
        <f t="shared" si="29"/>
        <v>2.1125699999999998</v>
      </c>
      <c r="F933" s="1">
        <v>3738</v>
      </c>
      <c r="G933" s="2">
        <v>57096.5</v>
      </c>
      <c r="H933" s="1">
        <v>219998</v>
      </c>
      <c r="M933" t="s">
        <v>914</v>
      </c>
      <c r="N933" t="s">
        <v>1594</v>
      </c>
    </row>
    <row r="934" spans="1:14" x14ac:dyDescent="0.25">
      <c r="A934" t="s">
        <v>915</v>
      </c>
      <c r="B934" t="str">
        <f t="shared" si="28"/>
        <v>p__Bacteroidota</v>
      </c>
      <c r="C934" s="1">
        <v>7</v>
      </c>
      <c r="D934" s="3">
        <v>2465195</v>
      </c>
      <c r="E934" s="3">
        <f t="shared" si="29"/>
        <v>2.465195</v>
      </c>
      <c r="F934" s="1">
        <v>43703</v>
      </c>
      <c r="G934" s="2">
        <v>352170.7</v>
      </c>
      <c r="H934" s="1">
        <v>779398</v>
      </c>
      <c r="M934" t="s">
        <v>915</v>
      </c>
      <c r="N934" t="s">
        <v>1594</v>
      </c>
    </row>
    <row r="935" spans="1:14" x14ac:dyDescent="0.25">
      <c r="A935" t="s">
        <v>916</v>
      </c>
      <c r="B935" t="str">
        <f t="shared" si="28"/>
        <v>p__Bacteroidota</v>
      </c>
      <c r="C935" s="1">
        <v>25</v>
      </c>
      <c r="D935" s="3">
        <v>3240662</v>
      </c>
      <c r="E935" s="3">
        <f t="shared" si="29"/>
        <v>3.2406619999999999</v>
      </c>
      <c r="F935" s="1">
        <v>3179</v>
      </c>
      <c r="G935" s="2">
        <v>129626.5</v>
      </c>
      <c r="H935" s="1">
        <v>368179</v>
      </c>
      <c r="M935" t="s">
        <v>916</v>
      </c>
      <c r="N935" t="s">
        <v>1594</v>
      </c>
    </row>
    <row r="936" spans="1:14" x14ac:dyDescent="0.25">
      <c r="A936" t="s">
        <v>917</v>
      </c>
      <c r="B936" t="str">
        <f t="shared" si="28"/>
        <v>p__Bacteroidota</v>
      </c>
      <c r="C936" s="1">
        <v>23</v>
      </c>
      <c r="D936" s="3">
        <v>3473178</v>
      </c>
      <c r="E936" s="3">
        <f t="shared" si="29"/>
        <v>3.4731779999999999</v>
      </c>
      <c r="F936" s="1">
        <v>6150</v>
      </c>
      <c r="G936" s="2">
        <v>151007.70000000001</v>
      </c>
      <c r="H936" s="1">
        <v>470893</v>
      </c>
      <c r="M936" t="s">
        <v>917</v>
      </c>
      <c r="N936" t="s">
        <v>1594</v>
      </c>
    </row>
    <row r="937" spans="1:14" x14ac:dyDescent="0.25">
      <c r="A937" t="s">
        <v>918</v>
      </c>
      <c r="B937" t="str">
        <f t="shared" si="28"/>
        <v>p__Bacteroidota</v>
      </c>
      <c r="C937" s="1">
        <v>301</v>
      </c>
      <c r="D937" s="3">
        <v>2126626</v>
      </c>
      <c r="E937" s="3">
        <f t="shared" si="29"/>
        <v>2.1266259999999999</v>
      </c>
      <c r="F937" s="2">
        <v>2001</v>
      </c>
      <c r="G937" s="1">
        <v>7065.2</v>
      </c>
      <c r="H937" s="1">
        <v>173486</v>
      </c>
      <c r="M937" t="s">
        <v>918</v>
      </c>
      <c r="N937" t="s">
        <v>1594</v>
      </c>
    </row>
    <row r="938" spans="1:14" x14ac:dyDescent="0.25">
      <c r="A938" t="s">
        <v>919</v>
      </c>
      <c r="B938" t="str">
        <f t="shared" si="28"/>
        <v>p__Bacteroidota</v>
      </c>
      <c r="C938" s="1">
        <v>5</v>
      </c>
      <c r="D938" s="3">
        <v>2549763</v>
      </c>
      <c r="E938" s="3">
        <f t="shared" si="29"/>
        <v>2.549763</v>
      </c>
      <c r="F938" s="1">
        <v>31485</v>
      </c>
      <c r="G938" s="2">
        <v>509952.6</v>
      </c>
      <c r="H938" s="1">
        <v>947384</v>
      </c>
      <c r="M938" t="s">
        <v>919</v>
      </c>
      <c r="N938" t="s">
        <v>1594</v>
      </c>
    </row>
    <row r="939" spans="1:14" x14ac:dyDescent="0.25">
      <c r="A939" t="s">
        <v>920</v>
      </c>
      <c r="B939" t="str">
        <f t="shared" si="28"/>
        <v>p__Bacteroidota</v>
      </c>
      <c r="C939" s="1">
        <v>2</v>
      </c>
      <c r="D939" s="3">
        <v>3161546</v>
      </c>
      <c r="E939" s="3">
        <f t="shared" si="29"/>
        <v>3.161546</v>
      </c>
      <c r="F939" s="1">
        <v>1417724</v>
      </c>
      <c r="G939" s="1">
        <v>1580773</v>
      </c>
      <c r="H939" s="1">
        <v>1743822</v>
      </c>
      <c r="M939" t="s">
        <v>920</v>
      </c>
      <c r="N939" t="s">
        <v>1594</v>
      </c>
    </row>
    <row r="940" spans="1:14" x14ac:dyDescent="0.25">
      <c r="A940" t="s">
        <v>921</v>
      </c>
      <c r="B940" t="str">
        <f t="shared" si="28"/>
        <v>p__Bacteroidota</v>
      </c>
      <c r="C940" s="1">
        <v>67</v>
      </c>
      <c r="D940" s="3">
        <v>2335502</v>
      </c>
      <c r="E940" s="3">
        <f t="shared" si="29"/>
        <v>2.335502</v>
      </c>
      <c r="F940" s="1">
        <v>3917</v>
      </c>
      <c r="G940" s="2">
        <v>34858.199999999997</v>
      </c>
      <c r="H940" s="1">
        <v>179226</v>
      </c>
      <c r="M940" t="s">
        <v>921</v>
      </c>
      <c r="N940" t="s">
        <v>1594</v>
      </c>
    </row>
    <row r="941" spans="1:14" x14ac:dyDescent="0.25">
      <c r="A941" t="s">
        <v>922</v>
      </c>
      <c r="B941" t="str">
        <f t="shared" si="28"/>
        <v>p__Bacteroidota</v>
      </c>
      <c r="C941" s="1">
        <v>56</v>
      </c>
      <c r="D941" s="3">
        <v>2860275</v>
      </c>
      <c r="E941" s="3">
        <f t="shared" si="29"/>
        <v>2.8602750000000001</v>
      </c>
      <c r="F941" s="1">
        <v>5007</v>
      </c>
      <c r="G941" s="2">
        <v>51076.3</v>
      </c>
      <c r="H941" s="1">
        <v>164128</v>
      </c>
      <c r="M941" t="s">
        <v>922</v>
      </c>
      <c r="N941" t="s">
        <v>1594</v>
      </c>
    </row>
    <row r="942" spans="1:14" x14ac:dyDescent="0.25">
      <c r="A942" t="s">
        <v>923</v>
      </c>
      <c r="B942" t="str">
        <f t="shared" si="28"/>
        <v>p__Bacteroidota</v>
      </c>
      <c r="C942" s="1">
        <v>8</v>
      </c>
      <c r="D942" s="3">
        <v>1989659</v>
      </c>
      <c r="E942" s="3">
        <f t="shared" si="29"/>
        <v>1.9896590000000001</v>
      </c>
      <c r="F942" s="1">
        <v>17456</v>
      </c>
      <c r="G942" s="2">
        <v>248707.4</v>
      </c>
      <c r="H942" s="1">
        <v>837555</v>
      </c>
      <c r="M942" t="s">
        <v>923</v>
      </c>
      <c r="N942" t="s">
        <v>1594</v>
      </c>
    </row>
    <row r="943" spans="1:14" x14ac:dyDescent="0.25">
      <c r="A943" t="s">
        <v>924</v>
      </c>
      <c r="B943" t="str">
        <f t="shared" si="28"/>
        <v>p__Bacteroidota</v>
      </c>
      <c r="C943" s="1">
        <v>102</v>
      </c>
      <c r="D943" s="3">
        <v>2342577</v>
      </c>
      <c r="E943" s="3">
        <f t="shared" si="29"/>
        <v>2.3425769999999999</v>
      </c>
      <c r="F943" s="2">
        <v>2010</v>
      </c>
      <c r="G943" s="1">
        <v>22966.400000000001</v>
      </c>
      <c r="H943" s="1">
        <v>194323</v>
      </c>
      <c r="M943" t="s">
        <v>924</v>
      </c>
      <c r="N943" t="s">
        <v>1594</v>
      </c>
    </row>
    <row r="944" spans="1:14" x14ac:dyDescent="0.25">
      <c r="A944" t="s">
        <v>925</v>
      </c>
      <c r="B944" t="str">
        <f t="shared" si="28"/>
        <v>p__Bacteroidota</v>
      </c>
      <c r="C944" s="1">
        <v>159</v>
      </c>
      <c r="D944" s="3">
        <v>3108799</v>
      </c>
      <c r="E944" s="3">
        <f t="shared" si="29"/>
        <v>3.1087989999999999</v>
      </c>
      <c r="F944" s="2">
        <v>2534</v>
      </c>
      <c r="G944" s="1">
        <v>19552.2</v>
      </c>
      <c r="H944" s="1">
        <v>268258</v>
      </c>
      <c r="M944" t="s">
        <v>925</v>
      </c>
      <c r="N944" t="s">
        <v>1594</v>
      </c>
    </row>
    <row r="945" spans="1:14" x14ac:dyDescent="0.25">
      <c r="A945" t="s">
        <v>926</v>
      </c>
      <c r="B945" t="str">
        <f t="shared" si="28"/>
        <v>p__Bacteroidota</v>
      </c>
      <c r="C945" s="1">
        <v>4</v>
      </c>
      <c r="D945" s="3">
        <v>3153707</v>
      </c>
      <c r="E945" s="3">
        <f t="shared" si="29"/>
        <v>3.1537069999999998</v>
      </c>
      <c r="F945" s="1">
        <v>58494</v>
      </c>
      <c r="G945" s="2">
        <v>788426.8</v>
      </c>
      <c r="H945" s="1">
        <v>1497892</v>
      </c>
      <c r="M945" t="s">
        <v>926</v>
      </c>
      <c r="N945" t="s">
        <v>1594</v>
      </c>
    </row>
    <row r="946" spans="1:14" x14ac:dyDescent="0.25">
      <c r="A946" t="s">
        <v>927</v>
      </c>
      <c r="B946" t="str">
        <f t="shared" si="28"/>
        <v>p__Bacteroidota</v>
      </c>
      <c r="C946" s="1">
        <v>166</v>
      </c>
      <c r="D946" s="3">
        <v>1603097</v>
      </c>
      <c r="E946" s="3">
        <f t="shared" si="29"/>
        <v>1.603097</v>
      </c>
      <c r="F946" s="2">
        <v>2007</v>
      </c>
      <c r="G946" s="1">
        <v>9657.2000000000007</v>
      </c>
      <c r="H946" s="1">
        <v>138825</v>
      </c>
      <c r="M946" t="s">
        <v>927</v>
      </c>
      <c r="N946" t="s">
        <v>1594</v>
      </c>
    </row>
    <row r="947" spans="1:14" x14ac:dyDescent="0.25">
      <c r="A947" t="s">
        <v>928</v>
      </c>
      <c r="B947" t="str">
        <f t="shared" si="28"/>
        <v>p__Bacteroidota</v>
      </c>
      <c r="C947" s="1">
        <v>25</v>
      </c>
      <c r="D947" s="3">
        <v>2499302</v>
      </c>
      <c r="E947" s="3">
        <f t="shared" si="29"/>
        <v>2.4993020000000001</v>
      </c>
      <c r="F947" s="1">
        <v>4885</v>
      </c>
      <c r="G947" s="2">
        <v>99972.1</v>
      </c>
      <c r="H947" s="1">
        <v>1034677</v>
      </c>
      <c r="M947" t="s">
        <v>928</v>
      </c>
      <c r="N947" t="s">
        <v>1594</v>
      </c>
    </row>
    <row r="948" spans="1:14" x14ac:dyDescent="0.25">
      <c r="A948" t="s">
        <v>929</v>
      </c>
      <c r="B948" t="str">
        <f t="shared" si="28"/>
        <v>p__Bacteroidota</v>
      </c>
      <c r="C948" s="1">
        <v>15</v>
      </c>
      <c r="D948" s="3">
        <v>2070597</v>
      </c>
      <c r="E948" s="3">
        <f t="shared" si="29"/>
        <v>2.0705969999999998</v>
      </c>
      <c r="F948" s="1">
        <v>5301</v>
      </c>
      <c r="G948" s="2">
        <v>138039.79999999999</v>
      </c>
      <c r="H948" s="1">
        <v>499616</v>
      </c>
      <c r="M948" t="s">
        <v>929</v>
      </c>
      <c r="N948" t="s">
        <v>1594</v>
      </c>
    </row>
    <row r="949" spans="1:14" x14ac:dyDescent="0.25">
      <c r="A949" t="s">
        <v>930</v>
      </c>
      <c r="B949" t="str">
        <f t="shared" si="28"/>
        <v>p__Bacteroidota</v>
      </c>
      <c r="C949" s="1">
        <v>6</v>
      </c>
      <c r="D949" s="3">
        <v>2582462</v>
      </c>
      <c r="E949" s="3">
        <f t="shared" si="29"/>
        <v>2.582462</v>
      </c>
      <c r="F949" s="1">
        <v>153612</v>
      </c>
      <c r="G949" s="2">
        <v>430410.3</v>
      </c>
      <c r="H949" s="1">
        <v>1109397</v>
      </c>
      <c r="M949" t="s">
        <v>930</v>
      </c>
      <c r="N949" t="s">
        <v>1594</v>
      </c>
    </row>
    <row r="950" spans="1:14" x14ac:dyDescent="0.25">
      <c r="A950" t="s">
        <v>931</v>
      </c>
      <c r="B950" t="str">
        <f t="shared" si="28"/>
        <v>p__Bacteroidota</v>
      </c>
      <c r="C950" s="1">
        <v>32</v>
      </c>
      <c r="D950" s="3">
        <v>2161479</v>
      </c>
      <c r="E950" s="3">
        <f t="shared" si="29"/>
        <v>2.1614789999999999</v>
      </c>
      <c r="F950" s="1">
        <v>20735</v>
      </c>
      <c r="G950" s="2">
        <v>67546.2</v>
      </c>
      <c r="H950" s="1">
        <v>191178</v>
      </c>
      <c r="M950" t="s">
        <v>931</v>
      </c>
      <c r="N950" t="s">
        <v>1594</v>
      </c>
    </row>
    <row r="951" spans="1:14" x14ac:dyDescent="0.25">
      <c r="A951" t="s">
        <v>932</v>
      </c>
      <c r="B951" t="str">
        <f t="shared" si="28"/>
        <v>p__Bacteroidota</v>
      </c>
      <c r="C951" s="1">
        <v>6</v>
      </c>
      <c r="D951" s="3">
        <v>1486298</v>
      </c>
      <c r="E951" s="3">
        <f t="shared" si="29"/>
        <v>1.4862979999999999</v>
      </c>
      <c r="F951" s="1">
        <v>17507</v>
      </c>
      <c r="G951" s="2">
        <v>247716.3</v>
      </c>
      <c r="H951" s="1">
        <v>883034</v>
      </c>
      <c r="M951" t="s">
        <v>932</v>
      </c>
      <c r="N951" t="s">
        <v>1594</v>
      </c>
    </row>
    <row r="952" spans="1:14" x14ac:dyDescent="0.25">
      <c r="A952" t="s">
        <v>933</v>
      </c>
      <c r="B952" t="str">
        <f t="shared" si="28"/>
        <v>p__Bacteroidota</v>
      </c>
      <c r="C952" s="1">
        <v>4</v>
      </c>
      <c r="D952" s="3">
        <v>2510051</v>
      </c>
      <c r="E952" s="3">
        <f t="shared" si="29"/>
        <v>2.5100509999999998</v>
      </c>
      <c r="F952" s="1">
        <v>192684</v>
      </c>
      <c r="G952" s="2">
        <v>627512.80000000005</v>
      </c>
      <c r="H952" s="1">
        <v>1218528</v>
      </c>
      <c r="M952" t="s">
        <v>933</v>
      </c>
      <c r="N952" t="s">
        <v>1594</v>
      </c>
    </row>
    <row r="953" spans="1:14" x14ac:dyDescent="0.25">
      <c r="A953" t="s">
        <v>934</v>
      </c>
      <c r="B953" t="str">
        <f t="shared" si="28"/>
        <v>p__Bacteroidota</v>
      </c>
      <c r="C953" s="1">
        <v>38</v>
      </c>
      <c r="D953" s="3">
        <v>1647665</v>
      </c>
      <c r="E953" s="3">
        <f t="shared" si="29"/>
        <v>1.6476649999999999</v>
      </c>
      <c r="F953" s="1">
        <v>2087</v>
      </c>
      <c r="G953" s="2">
        <v>43359.6</v>
      </c>
      <c r="H953" s="1">
        <v>217356</v>
      </c>
      <c r="M953" t="s">
        <v>934</v>
      </c>
      <c r="N953" t="s">
        <v>1594</v>
      </c>
    </row>
    <row r="954" spans="1:14" x14ac:dyDescent="0.25">
      <c r="A954" t="s">
        <v>935</v>
      </c>
      <c r="B954" t="str">
        <f t="shared" si="28"/>
        <v>p__Bacteroidota</v>
      </c>
      <c r="C954" s="1">
        <v>59</v>
      </c>
      <c r="D954" s="3">
        <v>2916897</v>
      </c>
      <c r="E954" s="3">
        <f t="shared" si="29"/>
        <v>2.9168970000000001</v>
      </c>
      <c r="F954" s="1">
        <v>2062</v>
      </c>
      <c r="G954" s="2">
        <v>49438.9</v>
      </c>
      <c r="H954" s="1">
        <v>323828</v>
      </c>
      <c r="M954" t="s">
        <v>935</v>
      </c>
      <c r="N954" t="s">
        <v>1594</v>
      </c>
    </row>
    <row r="955" spans="1:14" x14ac:dyDescent="0.25">
      <c r="A955" t="s">
        <v>936</v>
      </c>
      <c r="B955" t="str">
        <f t="shared" si="28"/>
        <v>p__Bacteroidota</v>
      </c>
      <c r="C955" s="1">
        <v>57</v>
      </c>
      <c r="D955" s="3">
        <v>1997162</v>
      </c>
      <c r="E955" s="3">
        <f t="shared" si="29"/>
        <v>1.9971620000000001</v>
      </c>
      <c r="F955" s="1">
        <v>2008</v>
      </c>
      <c r="G955" s="2">
        <v>35037.9</v>
      </c>
      <c r="H955" s="1">
        <v>216026</v>
      </c>
      <c r="M955" t="s">
        <v>936</v>
      </c>
      <c r="N955" t="s">
        <v>1594</v>
      </c>
    </row>
    <row r="956" spans="1:14" x14ac:dyDescent="0.25">
      <c r="A956" t="s">
        <v>937</v>
      </c>
      <c r="B956" t="str">
        <f t="shared" si="28"/>
        <v>p__Bacteroidota</v>
      </c>
      <c r="C956" s="1">
        <v>3</v>
      </c>
      <c r="D956" s="3">
        <v>2323424</v>
      </c>
      <c r="E956" s="3">
        <f t="shared" si="29"/>
        <v>2.3234240000000002</v>
      </c>
      <c r="F956" s="1">
        <v>215613</v>
      </c>
      <c r="G956" s="2">
        <v>774474.7</v>
      </c>
      <c r="H956" s="1">
        <v>1154811</v>
      </c>
      <c r="M956" t="s">
        <v>937</v>
      </c>
      <c r="N956" t="s">
        <v>1594</v>
      </c>
    </row>
    <row r="957" spans="1:14" x14ac:dyDescent="0.25">
      <c r="A957" t="s">
        <v>938</v>
      </c>
      <c r="B957" t="str">
        <f t="shared" si="28"/>
        <v>p__Bacteroidota</v>
      </c>
      <c r="C957" s="1">
        <v>45</v>
      </c>
      <c r="D957" s="3">
        <v>1796017</v>
      </c>
      <c r="E957" s="3">
        <f t="shared" si="29"/>
        <v>1.796017</v>
      </c>
      <c r="F957" s="1">
        <v>6669</v>
      </c>
      <c r="G957" s="2">
        <v>39911.5</v>
      </c>
      <c r="H957" s="1">
        <v>134887</v>
      </c>
      <c r="M957" t="s">
        <v>938</v>
      </c>
      <c r="N957" t="s">
        <v>1594</v>
      </c>
    </row>
    <row r="958" spans="1:14" x14ac:dyDescent="0.25">
      <c r="A958" t="s">
        <v>939</v>
      </c>
      <c r="B958" t="str">
        <f t="shared" si="28"/>
        <v>p__Bacteroidota</v>
      </c>
      <c r="C958" s="1">
        <v>37</v>
      </c>
      <c r="D958" s="3">
        <v>1690331</v>
      </c>
      <c r="E958" s="3">
        <f t="shared" si="29"/>
        <v>1.690331</v>
      </c>
      <c r="F958" s="1">
        <v>2213</v>
      </c>
      <c r="G958" s="2">
        <v>45684.6</v>
      </c>
      <c r="H958" s="1">
        <v>164972</v>
      </c>
      <c r="M958" t="s">
        <v>939</v>
      </c>
      <c r="N958" t="s">
        <v>1594</v>
      </c>
    </row>
    <row r="959" spans="1:14" x14ac:dyDescent="0.25">
      <c r="A959" t="s">
        <v>940</v>
      </c>
      <c r="B959" t="str">
        <f t="shared" si="28"/>
        <v>p__Bacteroidota</v>
      </c>
      <c r="C959" s="1">
        <v>25</v>
      </c>
      <c r="D959" s="3">
        <v>1382963</v>
      </c>
      <c r="E959" s="3">
        <f t="shared" si="29"/>
        <v>1.3829629999999999</v>
      </c>
      <c r="F959" s="1">
        <v>2327</v>
      </c>
      <c r="G959" s="2">
        <v>55318.5</v>
      </c>
      <c r="H959" s="1">
        <v>151744</v>
      </c>
      <c r="M959" t="s">
        <v>940</v>
      </c>
      <c r="N959" t="s">
        <v>1594</v>
      </c>
    </row>
    <row r="960" spans="1:14" x14ac:dyDescent="0.25">
      <c r="A960" t="s">
        <v>941</v>
      </c>
      <c r="B960" t="str">
        <f t="shared" si="28"/>
        <v>p__Bacteroidota</v>
      </c>
      <c r="C960" s="1">
        <v>120</v>
      </c>
      <c r="D960" s="3">
        <v>1900957</v>
      </c>
      <c r="E960" s="3">
        <f t="shared" si="29"/>
        <v>1.900957</v>
      </c>
      <c r="F960" s="2">
        <v>2049</v>
      </c>
      <c r="G960" s="1">
        <v>15841.3</v>
      </c>
      <c r="H960" s="1">
        <v>122798</v>
      </c>
      <c r="M960" t="s">
        <v>941</v>
      </c>
      <c r="N960" t="s">
        <v>1594</v>
      </c>
    </row>
    <row r="961" spans="1:14" x14ac:dyDescent="0.25">
      <c r="A961" t="s">
        <v>942</v>
      </c>
      <c r="B961" t="str">
        <f t="shared" si="28"/>
        <v>p__Bacteroidota</v>
      </c>
      <c r="C961" s="1">
        <v>3</v>
      </c>
      <c r="D961" s="3">
        <v>3729231</v>
      </c>
      <c r="E961" s="3">
        <f t="shared" si="29"/>
        <v>3.729231</v>
      </c>
      <c r="F961" s="1">
        <v>338245</v>
      </c>
      <c r="G961" s="1">
        <v>1243077</v>
      </c>
      <c r="H961" s="1">
        <v>2363869</v>
      </c>
      <c r="M961" t="s">
        <v>942</v>
      </c>
      <c r="N961" t="s">
        <v>1594</v>
      </c>
    </row>
    <row r="962" spans="1:14" x14ac:dyDescent="0.25">
      <c r="A962" t="s">
        <v>943</v>
      </c>
      <c r="B962" t="str">
        <f t="shared" ref="B962:B1025" si="30">VLOOKUP(A962,M:N,2,FALSE)</f>
        <v>p__Bacteroidota</v>
      </c>
      <c r="C962" s="1">
        <v>5</v>
      </c>
      <c r="D962" s="3">
        <v>2243167</v>
      </c>
      <c r="E962" s="3">
        <f t="shared" ref="E962:E1025" si="31">D962/1000000</f>
        <v>2.2431670000000001</v>
      </c>
      <c r="F962" s="1">
        <v>22638</v>
      </c>
      <c r="G962" s="2">
        <v>448633.4</v>
      </c>
      <c r="H962" s="1">
        <v>860257</v>
      </c>
      <c r="M962" t="s">
        <v>943</v>
      </c>
      <c r="N962" t="s">
        <v>1594</v>
      </c>
    </row>
    <row r="963" spans="1:14" x14ac:dyDescent="0.25">
      <c r="A963" t="s">
        <v>944</v>
      </c>
      <c r="B963" t="str">
        <f t="shared" si="30"/>
        <v>p__Bacteroidota</v>
      </c>
      <c r="C963" s="1">
        <v>28</v>
      </c>
      <c r="D963" s="3">
        <v>1665677</v>
      </c>
      <c r="E963" s="3">
        <f t="shared" si="31"/>
        <v>1.6656770000000001</v>
      </c>
      <c r="F963" s="1">
        <v>15319</v>
      </c>
      <c r="G963" s="2">
        <v>59488.5</v>
      </c>
      <c r="H963" s="1">
        <v>179069</v>
      </c>
      <c r="M963" t="s">
        <v>944</v>
      </c>
      <c r="N963" t="s">
        <v>1594</v>
      </c>
    </row>
    <row r="964" spans="1:14" x14ac:dyDescent="0.25">
      <c r="A964" t="s">
        <v>945</v>
      </c>
      <c r="B964" t="str">
        <f t="shared" si="30"/>
        <v>p__Bacteroidota</v>
      </c>
      <c r="C964" s="1">
        <v>6</v>
      </c>
      <c r="D964" s="3">
        <v>993511</v>
      </c>
      <c r="E964" s="3">
        <f t="shared" si="31"/>
        <v>0.99351100000000003</v>
      </c>
      <c r="F964" s="1">
        <v>29411</v>
      </c>
      <c r="G964" s="2">
        <v>165585.20000000001</v>
      </c>
      <c r="H964" s="1">
        <v>408718</v>
      </c>
      <c r="M964" t="s">
        <v>945</v>
      </c>
      <c r="N964" t="s">
        <v>1594</v>
      </c>
    </row>
    <row r="965" spans="1:14" x14ac:dyDescent="0.25">
      <c r="A965" t="s">
        <v>946</v>
      </c>
      <c r="B965" t="str">
        <f t="shared" si="30"/>
        <v>p__Bacteroidota</v>
      </c>
      <c r="C965" s="1">
        <v>38</v>
      </c>
      <c r="D965" s="3">
        <v>3340024</v>
      </c>
      <c r="E965" s="3">
        <f t="shared" si="31"/>
        <v>3.3400240000000001</v>
      </c>
      <c r="F965" s="1">
        <v>11352</v>
      </c>
      <c r="G965" s="2">
        <v>87895.4</v>
      </c>
      <c r="H965" s="1">
        <v>271256</v>
      </c>
      <c r="M965" t="s">
        <v>946</v>
      </c>
      <c r="N965" t="s">
        <v>1594</v>
      </c>
    </row>
    <row r="966" spans="1:14" x14ac:dyDescent="0.25">
      <c r="A966" t="s">
        <v>947</v>
      </c>
      <c r="B966" t="str">
        <f t="shared" si="30"/>
        <v>p__Bacteroidota</v>
      </c>
      <c r="C966" s="1">
        <v>8</v>
      </c>
      <c r="D966" s="3">
        <v>3417243</v>
      </c>
      <c r="E966" s="3">
        <f t="shared" si="31"/>
        <v>3.417243</v>
      </c>
      <c r="F966" s="1">
        <v>117387</v>
      </c>
      <c r="G966" s="2">
        <v>427155.4</v>
      </c>
      <c r="H966" s="1">
        <v>769479</v>
      </c>
      <c r="M966" t="s">
        <v>947</v>
      </c>
      <c r="N966" t="s">
        <v>1594</v>
      </c>
    </row>
    <row r="967" spans="1:14" x14ac:dyDescent="0.25">
      <c r="A967" t="s">
        <v>948</v>
      </c>
      <c r="B967" t="str">
        <f t="shared" si="30"/>
        <v>p__Bacteroidota</v>
      </c>
      <c r="C967" s="1">
        <v>34</v>
      </c>
      <c r="D967" s="3">
        <v>2781513</v>
      </c>
      <c r="E967" s="3">
        <f t="shared" si="31"/>
        <v>2.7815129999999999</v>
      </c>
      <c r="F967" s="1">
        <v>7182</v>
      </c>
      <c r="G967" s="2">
        <v>81809.2</v>
      </c>
      <c r="H967" s="1">
        <v>316562</v>
      </c>
      <c r="M967" t="s">
        <v>948</v>
      </c>
      <c r="N967" t="s">
        <v>1594</v>
      </c>
    </row>
    <row r="968" spans="1:14" x14ac:dyDescent="0.25">
      <c r="A968" t="s">
        <v>949</v>
      </c>
      <c r="B968" t="str">
        <f t="shared" si="30"/>
        <v>p__Bacteroidota</v>
      </c>
      <c r="C968" s="1">
        <v>52</v>
      </c>
      <c r="D968" s="3">
        <v>2461443</v>
      </c>
      <c r="E968" s="3">
        <f t="shared" si="31"/>
        <v>2.461443</v>
      </c>
      <c r="F968" s="1">
        <v>2025</v>
      </c>
      <c r="G968" s="2">
        <v>47335.4</v>
      </c>
      <c r="H968" s="1">
        <v>208752</v>
      </c>
      <c r="M968" t="s">
        <v>949</v>
      </c>
      <c r="N968" t="s">
        <v>1594</v>
      </c>
    </row>
    <row r="969" spans="1:14" x14ac:dyDescent="0.25">
      <c r="A969" t="s">
        <v>950</v>
      </c>
      <c r="B969" t="str">
        <f t="shared" si="30"/>
        <v>p__Bacteroidota</v>
      </c>
      <c r="C969" s="1">
        <v>40</v>
      </c>
      <c r="D969" s="3">
        <v>2735000</v>
      </c>
      <c r="E969" s="3">
        <f t="shared" si="31"/>
        <v>2.7349999999999999</v>
      </c>
      <c r="F969" s="1">
        <v>9527</v>
      </c>
      <c r="G969" s="1">
        <v>68375</v>
      </c>
      <c r="H969" s="1">
        <v>273003</v>
      </c>
      <c r="M969" t="s">
        <v>950</v>
      </c>
      <c r="N969" t="s">
        <v>1594</v>
      </c>
    </row>
    <row r="970" spans="1:14" x14ac:dyDescent="0.25">
      <c r="A970" t="s">
        <v>951</v>
      </c>
      <c r="B970" t="str">
        <f t="shared" si="30"/>
        <v>p__Bacteroidota</v>
      </c>
      <c r="C970" s="1">
        <v>12</v>
      </c>
      <c r="D970" s="3">
        <v>5108813</v>
      </c>
      <c r="E970" s="3">
        <f t="shared" si="31"/>
        <v>5.1088129999999996</v>
      </c>
      <c r="F970" s="1">
        <v>78164</v>
      </c>
      <c r="G970" s="2">
        <v>425734.40000000002</v>
      </c>
      <c r="H970" s="1">
        <v>1278831</v>
      </c>
      <c r="M970" t="s">
        <v>951</v>
      </c>
      <c r="N970" t="s">
        <v>1594</v>
      </c>
    </row>
    <row r="971" spans="1:14" x14ac:dyDescent="0.25">
      <c r="A971" t="s">
        <v>952</v>
      </c>
      <c r="B971" t="str">
        <f t="shared" si="30"/>
        <v>p__Bacteroidota</v>
      </c>
      <c r="C971" s="1">
        <v>16</v>
      </c>
      <c r="D971" s="3">
        <v>3626943</v>
      </c>
      <c r="E971" s="3">
        <f t="shared" si="31"/>
        <v>3.6269429999999998</v>
      </c>
      <c r="F971" s="1">
        <v>5576</v>
      </c>
      <c r="G971" s="2">
        <v>226683.9</v>
      </c>
      <c r="H971" s="1">
        <v>860827</v>
      </c>
      <c r="M971" t="s">
        <v>952</v>
      </c>
      <c r="N971" t="s">
        <v>1594</v>
      </c>
    </row>
    <row r="972" spans="1:14" x14ac:dyDescent="0.25">
      <c r="A972" t="s">
        <v>953</v>
      </c>
      <c r="B972" t="str">
        <f t="shared" si="30"/>
        <v>p__Bacteroidota</v>
      </c>
      <c r="C972" s="1">
        <v>48</v>
      </c>
      <c r="D972" s="3">
        <v>2507939</v>
      </c>
      <c r="E972" s="3">
        <f t="shared" si="31"/>
        <v>2.5079389999999999</v>
      </c>
      <c r="F972" s="1">
        <v>2068</v>
      </c>
      <c r="G972" s="2">
        <v>52248.7</v>
      </c>
      <c r="H972" s="1">
        <v>358759</v>
      </c>
      <c r="M972" t="s">
        <v>953</v>
      </c>
      <c r="N972" t="s">
        <v>1594</v>
      </c>
    </row>
    <row r="973" spans="1:14" x14ac:dyDescent="0.25">
      <c r="A973" t="s">
        <v>954</v>
      </c>
      <c r="B973" t="str">
        <f t="shared" si="30"/>
        <v>p__Bacteroidota</v>
      </c>
      <c r="C973" s="1">
        <v>9</v>
      </c>
      <c r="D973" s="3">
        <v>2034243</v>
      </c>
      <c r="E973" s="3">
        <f t="shared" si="31"/>
        <v>2.034243</v>
      </c>
      <c r="F973" s="1">
        <v>22868</v>
      </c>
      <c r="G973" s="1">
        <v>226027</v>
      </c>
      <c r="H973" s="1">
        <v>463813</v>
      </c>
      <c r="M973" t="s">
        <v>954</v>
      </c>
      <c r="N973" t="s">
        <v>1594</v>
      </c>
    </row>
    <row r="974" spans="1:14" x14ac:dyDescent="0.25">
      <c r="A974" t="s">
        <v>955</v>
      </c>
      <c r="B974" t="str">
        <f t="shared" si="30"/>
        <v>p__Bacteroidota</v>
      </c>
      <c r="C974" s="1">
        <v>35</v>
      </c>
      <c r="D974" s="3">
        <v>2155427</v>
      </c>
      <c r="E974" s="3">
        <f t="shared" si="31"/>
        <v>2.155427</v>
      </c>
      <c r="F974" s="1">
        <v>4914</v>
      </c>
      <c r="G974" s="2">
        <v>61583.6</v>
      </c>
      <c r="H974" s="1">
        <v>195112</v>
      </c>
      <c r="M974" t="s">
        <v>955</v>
      </c>
      <c r="N974" t="s">
        <v>1594</v>
      </c>
    </row>
    <row r="975" spans="1:14" x14ac:dyDescent="0.25">
      <c r="A975" t="s">
        <v>956</v>
      </c>
      <c r="B975" t="str">
        <f t="shared" si="30"/>
        <v>p__Bacteroidota</v>
      </c>
      <c r="C975" s="1">
        <v>42</v>
      </c>
      <c r="D975" s="3">
        <v>2263469</v>
      </c>
      <c r="E975" s="3">
        <f t="shared" si="31"/>
        <v>2.2634690000000002</v>
      </c>
      <c r="F975" s="1">
        <v>2028</v>
      </c>
      <c r="G975" s="2">
        <v>53892.1</v>
      </c>
      <c r="H975" s="1">
        <v>425520</v>
      </c>
      <c r="M975" t="s">
        <v>956</v>
      </c>
      <c r="N975" t="s">
        <v>1594</v>
      </c>
    </row>
    <row r="976" spans="1:14" x14ac:dyDescent="0.25">
      <c r="A976" t="s">
        <v>957</v>
      </c>
      <c r="B976" t="str">
        <f t="shared" si="30"/>
        <v>p__Bacteroidota</v>
      </c>
      <c r="C976" s="1">
        <v>25</v>
      </c>
      <c r="D976" s="3">
        <v>3017794</v>
      </c>
      <c r="E976" s="3">
        <f t="shared" si="31"/>
        <v>3.0177939999999999</v>
      </c>
      <c r="F976" s="1">
        <v>13897</v>
      </c>
      <c r="G976" s="2">
        <v>120711.8</v>
      </c>
      <c r="H976" s="1">
        <v>494099</v>
      </c>
      <c r="M976" t="s">
        <v>957</v>
      </c>
      <c r="N976" t="s">
        <v>1594</v>
      </c>
    </row>
    <row r="977" spans="1:14" x14ac:dyDescent="0.25">
      <c r="A977" t="s">
        <v>958</v>
      </c>
      <c r="B977" t="str">
        <f t="shared" si="30"/>
        <v>p__Bacteroidota</v>
      </c>
      <c r="C977" s="1">
        <v>35</v>
      </c>
      <c r="D977" s="3">
        <v>3768471</v>
      </c>
      <c r="E977" s="3">
        <f t="shared" si="31"/>
        <v>3.7684709999999999</v>
      </c>
      <c r="F977" s="1">
        <v>9648</v>
      </c>
      <c r="G977" s="2">
        <v>107670.6</v>
      </c>
      <c r="H977" s="1">
        <v>405972</v>
      </c>
      <c r="M977" t="s">
        <v>958</v>
      </c>
      <c r="N977" t="s">
        <v>1594</v>
      </c>
    </row>
    <row r="978" spans="1:14" x14ac:dyDescent="0.25">
      <c r="A978" t="s">
        <v>959</v>
      </c>
      <c r="B978" t="str">
        <f t="shared" si="30"/>
        <v>p__Bacteroidota</v>
      </c>
      <c r="C978" s="1">
        <v>23</v>
      </c>
      <c r="D978" s="3">
        <v>2807936</v>
      </c>
      <c r="E978" s="3">
        <f t="shared" si="31"/>
        <v>2.8079360000000002</v>
      </c>
      <c r="F978" s="1">
        <v>2855</v>
      </c>
      <c r="G978" s="2">
        <v>122084.2</v>
      </c>
      <c r="H978" s="1">
        <v>323397</v>
      </c>
      <c r="M978" t="s">
        <v>959</v>
      </c>
      <c r="N978" t="s">
        <v>1594</v>
      </c>
    </row>
    <row r="979" spans="1:14" x14ac:dyDescent="0.25">
      <c r="A979" t="s">
        <v>960</v>
      </c>
      <c r="B979" t="str">
        <f t="shared" si="30"/>
        <v>p__Bacteroidota</v>
      </c>
      <c r="C979" s="1">
        <v>69</v>
      </c>
      <c r="D979" s="3">
        <v>3012655</v>
      </c>
      <c r="E979" s="3">
        <f t="shared" si="31"/>
        <v>3.0126550000000001</v>
      </c>
      <c r="F979" s="1">
        <v>2008</v>
      </c>
      <c r="G979" s="2">
        <v>43661.7</v>
      </c>
      <c r="H979" s="1">
        <v>211780</v>
      </c>
      <c r="M979" t="s">
        <v>960</v>
      </c>
      <c r="N979" t="s">
        <v>1594</v>
      </c>
    </row>
    <row r="980" spans="1:14" x14ac:dyDescent="0.25">
      <c r="A980" t="s">
        <v>961</v>
      </c>
      <c r="B980" t="str">
        <f t="shared" si="30"/>
        <v>p__Bacteroidota</v>
      </c>
      <c r="C980" s="1">
        <v>54</v>
      </c>
      <c r="D980" s="3">
        <v>2862315</v>
      </c>
      <c r="E980" s="3">
        <f t="shared" si="31"/>
        <v>2.8623150000000002</v>
      </c>
      <c r="F980" s="1">
        <v>4173</v>
      </c>
      <c r="G980" s="2">
        <v>53005.8</v>
      </c>
      <c r="H980" s="1">
        <v>261803</v>
      </c>
      <c r="M980" t="s">
        <v>961</v>
      </c>
      <c r="N980" t="s">
        <v>1594</v>
      </c>
    </row>
    <row r="981" spans="1:14" x14ac:dyDescent="0.25">
      <c r="A981" t="s">
        <v>962</v>
      </c>
      <c r="B981" t="str">
        <f t="shared" si="30"/>
        <v>p__Bacteroidota</v>
      </c>
      <c r="C981" s="1">
        <v>103</v>
      </c>
      <c r="D981" s="3">
        <v>3482245</v>
      </c>
      <c r="E981" s="3">
        <f t="shared" si="31"/>
        <v>3.4822449999999998</v>
      </c>
      <c r="F981" s="2">
        <v>3834</v>
      </c>
      <c r="G981" s="1">
        <v>33808.199999999997</v>
      </c>
      <c r="H981" s="1">
        <v>225101</v>
      </c>
      <c r="M981" t="s">
        <v>962</v>
      </c>
      <c r="N981" t="s">
        <v>1594</v>
      </c>
    </row>
    <row r="982" spans="1:14" x14ac:dyDescent="0.25">
      <c r="A982" t="s">
        <v>963</v>
      </c>
      <c r="B982" t="str">
        <f t="shared" si="30"/>
        <v>p__Bacteroidota</v>
      </c>
      <c r="C982" s="1">
        <v>44</v>
      </c>
      <c r="D982" s="3">
        <v>2363413</v>
      </c>
      <c r="E982" s="3">
        <f t="shared" si="31"/>
        <v>2.363413</v>
      </c>
      <c r="F982" s="1">
        <v>6814</v>
      </c>
      <c r="G982" s="2">
        <v>53713.9</v>
      </c>
      <c r="H982" s="1">
        <v>169600</v>
      </c>
      <c r="M982" t="s">
        <v>963</v>
      </c>
      <c r="N982" t="s">
        <v>1594</v>
      </c>
    </row>
    <row r="983" spans="1:14" x14ac:dyDescent="0.25">
      <c r="A983" t="s">
        <v>964</v>
      </c>
      <c r="B983" t="str">
        <f t="shared" si="30"/>
        <v>p__Bacteroidota</v>
      </c>
      <c r="C983" s="1">
        <v>36</v>
      </c>
      <c r="D983" s="3">
        <v>2300666</v>
      </c>
      <c r="E983" s="3">
        <f t="shared" si="31"/>
        <v>2.3006660000000001</v>
      </c>
      <c r="F983" s="1">
        <v>9614</v>
      </c>
      <c r="G983" s="2">
        <v>63907.4</v>
      </c>
      <c r="H983" s="1">
        <v>191530</v>
      </c>
      <c r="M983" t="s">
        <v>964</v>
      </c>
      <c r="N983" t="s">
        <v>1594</v>
      </c>
    </row>
    <row r="984" spans="1:14" x14ac:dyDescent="0.25">
      <c r="A984" t="s">
        <v>965</v>
      </c>
      <c r="B984" t="str">
        <f t="shared" si="30"/>
        <v>p__Bacteroidota</v>
      </c>
      <c r="C984" s="1">
        <v>33</v>
      </c>
      <c r="D984" s="3">
        <v>4206791</v>
      </c>
      <c r="E984" s="3">
        <f t="shared" si="31"/>
        <v>4.2067909999999999</v>
      </c>
      <c r="F984" s="1">
        <v>40313</v>
      </c>
      <c r="G984" s="2">
        <v>127478.5</v>
      </c>
      <c r="H984" s="1">
        <v>1235022</v>
      </c>
      <c r="M984" t="s">
        <v>965</v>
      </c>
      <c r="N984" t="s">
        <v>1594</v>
      </c>
    </row>
    <row r="985" spans="1:14" x14ac:dyDescent="0.25">
      <c r="A985" t="s">
        <v>966</v>
      </c>
      <c r="B985" t="str">
        <f t="shared" si="30"/>
        <v>p__Bacteroidota</v>
      </c>
      <c r="C985" s="1">
        <v>14</v>
      </c>
      <c r="D985" s="3">
        <v>2224407</v>
      </c>
      <c r="E985" s="3">
        <f t="shared" si="31"/>
        <v>2.2244069999999998</v>
      </c>
      <c r="F985" s="1">
        <v>17734</v>
      </c>
      <c r="G985" s="2">
        <v>158886.20000000001</v>
      </c>
      <c r="H985" s="1">
        <v>421301</v>
      </c>
      <c r="M985" t="s">
        <v>966</v>
      </c>
      <c r="N985" t="s">
        <v>1594</v>
      </c>
    </row>
    <row r="986" spans="1:14" x14ac:dyDescent="0.25">
      <c r="A986" t="s">
        <v>967</v>
      </c>
      <c r="B986" t="str">
        <f t="shared" si="30"/>
        <v>p__Bacteroidota</v>
      </c>
      <c r="C986" s="1">
        <v>65</v>
      </c>
      <c r="D986" s="3">
        <v>3664194</v>
      </c>
      <c r="E986" s="3">
        <f t="shared" si="31"/>
        <v>3.6641940000000002</v>
      </c>
      <c r="F986" s="1">
        <v>2271</v>
      </c>
      <c r="G986" s="2">
        <v>56372.2</v>
      </c>
      <c r="H986" s="1">
        <v>307509</v>
      </c>
      <c r="M986" t="s">
        <v>967</v>
      </c>
      <c r="N986" t="s">
        <v>1594</v>
      </c>
    </row>
    <row r="987" spans="1:14" x14ac:dyDescent="0.25">
      <c r="A987" t="s">
        <v>968</v>
      </c>
      <c r="B987" t="str">
        <f t="shared" si="30"/>
        <v>p__Bacteroidota</v>
      </c>
      <c r="C987" s="1">
        <v>6</v>
      </c>
      <c r="D987" s="3">
        <v>6839089</v>
      </c>
      <c r="E987" s="3">
        <f t="shared" si="31"/>
        <v>6.8390890000000004</v>
      </c>
      <c r="F987" s="1">
        <v>25805</v>
      </c>
      <c r="G987" s="2">
        <v>1139848.2</v>
      </c>
      <c r="H987" s="1">
        <v>2564148</v>
      </c>
      <c r="M987" t="s">
        <v>968</v>
      </c>
      <c r="N987" t="s">
        <v>1594</v>
      </c>
    </row>
    <row r="988" spans="1:14" x14ac:dyDescent="0.25">
      <c r="A988" t="s">
        <v>969</v>
      </c>
      <c r="B988" t="str">
        <f t="shared" si="30"/>
        <v>p__Bacteroidota</v>
      </c>
      <c r="C988" s="1">
        <v>29</v>
      </c>
      <c r="D988" s="3">
        <v>5597461</v>
      </c>
      <c r="E988" s="3">
        <f t="shared" si="31"/>
        <v>5.597461</v>
      </c>
      <c r="F988" s="1">
        <v>6970</v>
      </c>
      <c r="G988" s="2">
        <v>193015.9</v>
      </c>
      <c r="H988" s="1">
        <v>859979</v>
      </c>
      <c r="M988" t="s">
        <v>969</v>
      </c>
      <c r="N988" t="s">
        <v>1594</v>
      </c>
    </row>
    <row r="989" spans="1:14" x14ac:dyDescent="0.25">
      <c r="A989" t="s">
        <v>970</v>
      </c>
      <c r="B989" t="str">
        <f t="shared" si="30"/>
        <v>p__Bacteroidota</v>
      </c>
      <c r="C989" s="1">
        <v>27</v>
      </c>
      <c r="D989" s="3">
        <v>3895170</v>
      </c>
      <c r="E989" s="3">
        <f t="shared" si="31"/>
        <v>3.8951699999999998</v>
      </c>
      <c r="F989" s="1">
        <v>2186</v>
      </c>
      <c r="G989" s="2">
        <v>144265.60000000001</v>
      </c>
      <c r="H989" s="1">
        <v>966863</v>
      </c>
      <c r="M989" t="s">
        <v>970</v>
      </c>
      <c r="N989" t="s">
        <v>1594</v>
      </c>
    </row>
    <row r="990" spans="1:14" x14ac:dyDescent="0.25">
      <c r="A990" t="s">
        <v>971</v>
      </c>
      <c r="B990" t="str">
        <f t="shared" si="30"/>
        <v>p__Bacteroidota</v>
      </c>
      <c r="C990" s="1">
        <v>25</v>
      </c>
      <c r="D990" s="3">
        <v>2980612</v>
      </c>
      <c r="E990" s="3">
        <f t="shared" si="31"/>
        <v>2.9806119999999998</v>
      </c>
      <c r="F990" s="1">
        <v>5127</v>
      </c>
      <c r="G990" s="2">
        <v>119224.5</v>
      </c>
      <c r="H990" s="1">
        <v>470934</v>
      </c>
      <c r="M990" t="s">
        <v>971</v>
      </c>
      <c r="N990" t="s">
        <v>1594</v>
      </c>
    </row>
    <row r="991" spans="1:14" x14ac:dyDescent="0.25">
      <c r="A991" t="s">
        <v>972</v>
      </c>
      <c r="B991" t="str">
        <f t="shared" si="30"/>
        <v>p__Bacteroidota</v>
      </c>
      <c r="C991" s="1">
        <v>42</v>
      </c>
      <c r="D991" s="3">
        <v>1776980</v>
      </c>
      <c r="E991" s="3">
        <f t="shared" si="31"/>
        <v>1.77698</v>
      </c>
      <c r="F991" s="1">
        <v>2146</v>
      </c>
      <c r="G991" s="1">
        <v>42309</v>
      </c>
      <c r="H991" s="1">
        <v>155010</v>
      </c>
      <c r="M991" t="s">
        <v>972</v>
      </c>
      <c r="N991" t="s">
        <v>1594</v>
      </c>
    </row>
    <row r="992" spans="1:14" x14ac:dyDescent="0.25">
      <c r="A992" t="s">
        <v>973</v>
      </c>
      <c r="B992" t="str">
        <f t="shared" si="30"/>
        <v>p__Bacteroidota</v>
      </c>
      <c r="C992" s="1">
        <v>6</v>
      </c>
      <c r="D992" s="3">
        <v>3121510</v>
      </c>
      <c r="E992" s="3">
        <f t="shared" si="31"/>
        <v>3.1215099999999998</v>
      </c>
      <c r="F992" s="1">
        <v>46738</v>
      </c>
      <c r="G992" s="2">
        <v>520251.7</v>
      </c>
      <c r="H992" s="1">
        <v>1334009</v>
      </c>
      <c r="M992" t="s">
        <v>973</v>
      </c>
      <c r="N992" t="s">
        <v>1594</v>
      </c>
    </row>
    <row r="993" spans="1:14" x14ac:dyDescent="0.25">
      <c r="A993" t="s">
        <v>974</v>
      </c>
      <c r="B993" t="str">
        <f t="shared" si="30"/>
        <v>p__Bacteroidota</v>
      </c>
      <c r="C993" s="1">
        <v>68</v>
      </c>
      <c r="D993" s="3">
        <v>2792272</v>
      </c>
      <c r="E993" s="3">
        <f t="shared" si="31"/>
        <v>2.7922720000000001</v>
      </c>
      <c r="F993" s="1">
        <v>2628</v>
      </c>
      <c r="G993" s="2">
        <v>41062.800000000003</v>
      </c>
      <c r="H993" s="1">
        <v>165005</v>
      </c>
      <c r="M993" t="s">
        <v>974</v>
      </c>
      <c r="N993" t="s">
        <v>1594</v>
      </c>
    </row>
    <row r="994" spans="1:14" x14ac:dyDescent="0.25">
      <c r="A994" t="s">
        <v>975</v>
      </c>
      <c r="B994" t="str">
        <f t="shared" si="30"/>
        <v>p__Bacteroidota</v>
      </c>
      <c r="C994" s="1">
        <v>19</v>
      </c>
      <c r="D994" s="3">
        <v>2188676</v>
      </c>
      <c r="E994" s="3">
        <f t="shared" si="31"/>
        <v>2.1886760000000001</v>
      </c>
      <c r="F994" s="1">
        <v>3224</v>
      </c>
      <c r="G994" s="2">
        <v>115193.5</v>
      </c>
      <c r="H994" s="1">
        <v>388998</v>
      </c>
      <c r="M994" t="s">
        <v>975</v>
      </c>
      <c r="N994" t="s">
        <v>1594</v>
      </c>
    </row>
    <row r="995" spans="1:14" x14ac:dyDescent="0.25">
      <c r="A995" t="s">
        <v>976</v>
      </c>
      <c r="B995" t="str">
        <f t="shared" si="30"/>
        <v>p__Bacteroidota</v>
      </c>
      <c r="C995" s="1">
        <v>14</v>
      </c>
      <c r="D995" s="3">
        <v>1896477</v>
      </c>
      <c r="E995" s="3">
        <f t="shared" si="31"/>
        <v>1.896477</v>
      </c>
      <c r="F995" s="1">
        <v>12512</v>
      </c>
      <c r="G995" s="2">
        <v>135462.6</v>
      </c>
      <c r="H995" s="1">
        <v>514614</v>
      </c>
      <c r="M995" t="s">
        <v>976</v>
      </c>
      <c r="N995" t="s">
        <v>1594</v>
      </c>
    </row>
    <row r="996" spans="1:14" x14ac:dyDescent="0.25">
      <c r="A996" t="s">
        <v>977</v>
      </c>
      <c r="B996" t="str">
        <f t="shared" si="30"/>
        <v>p__Bacteroidota</v>
      </c>
      <c r="C996" s="1">
        <v>20</v>
      </c>
      <c r="D996" s="3">
        <v>2032266</v>
      </c>
      <c r="E996" s="3">
        <f t="shared" si="31"/>
        <v>2.0322659999999999</v>
      </c>
      <c r="F996" s="1">
        <v>3234</v>
      </c>
      <c r="G996" s="2">
        <v>101613.3</v>
      </c>
      <c r="H996" s="1">
        <v>494033</v>
      </c>
      <c r="M996" t="s">
        <v>977</v>
      </c>
      <c r="N996" t="s">
        <v>1594</v>
      </c>
    </row>
    <row r="997" spans="1:14" x14ac:dyDescent="0.25">
      <c r="A997" t="s">
        <v>978</v>
      </c>
      <c r="B997" t="str">
        <f t="shared" si="30"/>
        <v>p__Bacteroidota</v>
      </c>
      <c r="C997" s="1">
        <v>34</v>
      </c>
      <c r="D997" s="3">
        <v>1893666</v>
      </c>
      <c r="E997" s="3">
        <f t="shared" si="31"/>
        <v>1.8936660000000001</v>
      </c>
      <c r="F997" s="1">
        <v>2065</v>
      </c>
      <c r="G997" s="2">
        <v>55696.1</v>
      </c>
      <c r="H997" s="1">
        <v>316011</v>
      </c>
      <c r="M997" t="s">
        <v>978</v>
      </c>
      <c r="N997" t="s">
        <v>1594</v>
      </c>
    </row>
    <row r="998" spans="1:14" x14ac:dyDescent="0.25">
      <c r="A998" t="s">
        <v>979</v>
      </c>
      <c r="B998" t="str">
        <f t="shared" si="30"/>
        <v>p__Bacteroidota</v>
      </c>
      <c r="C998" s="1">
        <v>14</v>
      </c>
      <c r="D998" s="3">
        <v>1943392</v>
      </c>
      <c r="E998" s="3">
        <f t="shared" si="31"/>
        <v>1.943392</v>
      </c>
      <c r="F998" s="1">
        <v>10680</v>
      </c>
      <c r="G998" s="2">
        <v>138813.70000000001</v>
      </c>
      <c r="H998" s="1">
        <v>497034</v>
      </c>
      <c r="M998" t="s">
        <v>979</v>
      </c>
      <c r="N998" t="s">
        <v>1594</v>
      </c>
    </row>
    <row r="999" spans="1:14" x14ac:dyDescent="0.25">
      <c r="A999" t="s">
        <v>980</v>
      </c>
      <c r="B999" t="str">
        <f t="shared" si="30"/>
        <v>p__Bacteroidota</v>
      </c>
      <c r="C999" s="1">
        <v>224</v>
      </c>
      <c r="D999" s="3">
        <v>1789864</v>
      </c>
      <c r="E999" s="3">
        <f t="shared" si="31"/>
        <v>1.7898639999999999</v>
      </c>
      <c r="F999" s="2">
        <v>2004</v>
      </c>
      <c r="G999" s="1">
        <v>7990.5</v>
      </c>
      <c r="H999" s="1">
        <v>173363</v>
      </c>
      <c r="M999" t="s">
        <v>980</v>
      </c>
      <c r="N999" t="s">
        <v>1594</v>
      </c>
    </row>
    <row r="1000" spans="1:14" x14ac:dyDescent="0.25">
      <c r="A1000" t="s">
        <v>981</v>
      </c>
      <c r="B1000" t="str">
        <f t="shared" si="30"/>
        <v>p__Bacteroidota</v>
      </c>
      <c r="C1000" s="1">
        <v>39</v>
      </c>
      <c r="D1000" s="3">
        <v>2368812</v>
      </c>
      <c r="E1000" s="3">
        <f t="shared" si="31"/>
        <v>2.3688120000000001</v>
      </c>
      <c r="F1000" s="1">
        <v>2213</v>
      </c>
      <c r="G1000" s="2">
        <v>60738.8</v>
      </c>
      <c r="H1000" s="1">
        <v>269086</v>
      </c>
      <c r="M1000" t="s">
        <v>981</v>
      </c>
      <c r="N1000" t="s">
        <v>1594</v>
      </c>
    </row>
    <row r="1001" spans="1:14" x14ac:dyDescent="0.25">
      <c r="A1001" t="s">
        <v>982</v>
      </c>
      <c r="B1001" t="str">
        <f t="shared" si="30"/>
        <v>p__Bacteroidota</v>
      </c>
      <c r="C1001" s="1">
        <v>7</v>
      </c>
      <c r="D1001" s="3">
        <v>2977409</v>
      </c>
      <c r="E1001" s="3">
        <f t="shared" si="31"/>
        <v>2.9774090000000002</v>
      </c>
      <c r="F1001" s="1">
        <v>2134</v>
      </c>
      <c r="G1001" s="2">
        <v>425344.1</v>
      </c>
      <c r="H1001" s="1">
        <v>2066446</v>
      </c>
      <c r="M1001" t="s">
        <v>982</v>
      </c>
      <c r="N1001" t="s">
        <v>1594</v>
      </c>
    </row>
    <row r="1002" spans="1:14" x14ac:dyDescent="0.25">
      <c r="A1002" t="s">
        <v>983</v>
      </c>
      <c r="B1002" t="str">
        <f t="shared" si="30"/>
        <v>p__Bacteroidota</v>
      </c>
      <c r="C1002" s="1">
        <v>24</v>
      </c>
      <c r="D1002" s="3">
        <v>2000765</v>
      </c>
      <c r="E1002" s="3">
        <f t="shared" si="31"/>
        <v>2.0007649999999999</v>
      </c>
      <c r="F1002" s="1">
        <v>7147</v>
      </c>
      <c r="G1002" s="2">
        <v>83365.2</v>
      </c>
      <c r="H1002" s="1">
        <v>386391</v>
      </c>
      <c r="M1002" t="s">
        <v>983</v>
      </c>
      <c r="N1002" t="s">
        <v>1594</v>
      </c>
    </row>
    <row r="1003" spans="1:14" x14ac:dyDescent="0.25">
      <c r="A1003" t="s">
        <v>984</v>
      </c>
      <c r="B1003" t="str">
        <f t="shared" si="30"/>
        <v>p__Bacteroidota</v>
      </c>
      <c r="C1003" s="1">
        <v>10</v>
      </c>
      <c r="D1003" s="3">
        <v>4058598</v>
      </c>
      <c r="E1003" s="3">
        <f t="shared" si="31"/>
        <v>4.0585979999999999</v>
      </c>
      <c r="F1003" s="1">
        <v>3015</v>
      </c>
      <c r="G1003" s="2">
        <v>405859.8</v>
      </c>
      <c r="H1003" s="1">
        <v>1859571</v>
      </c>
      <c r="M1003" t="s">
        <v>984</v>
      </c>
      <c r="N1003" t="s">
        <v>1594</v>
      </c>
    </row>
    <row r="1004" spans="1:14" x14ac:dyDescent="0.25">
      <c r="A1004" t="s">
        <v>985</v>
      </c>
      <c r="B1004" t="str">
        <f t="shared" si="30"/>
        <v>p__Bacteroidota</v>
      </c>
      <c r="C1004" s="1">
        <v>41</v>
      </c>
      <c r="D1004" s="3">
        <v>1648399</v>
      </c>
      <c r="E1004" s="3">
        <f t="shared" si="31"/>
        <v>1.6483989999999999</v>
      </c>
      <c r="F1004" s="1">
        <v>2272</v>
      </c>
      <c r="G1004" s="2">
        <v>40204.9</v>
      </c>
      <c r="H1004" s="1">
        <v>191454</v>
      </c>
      <c r="M1004" t="s">
        <v>985</v>
      </c>
      <c r="N1004" t="s">
        <v>1594</v>
      </c>
    </row>
    <row r="1005" spans="1:14" x14ac:dyDescent="0.25">
      <c r="A1005" t="s">
        <v>986</v>
      </c>
      <c r="B1005" t="str">
        <f t="shared" si="30"/>
        <v>p__Bacteroidota</v>
      </c>
      <c r="C1005" s="1">
        <v>31</v>
      </c>
      <c r="D1005" s="3">
        <v>2179419</v>
      </c>
      <c r="E1005" s="3">
        <f t="shared" si="31"/>
        <v>2.1794190000000002</v>
      </c>
      <c r="F1005" s="1">
        <v>3443</v>
      </c>
      <c r="G1005" s="2">
        <v>70303.8</v>
      </c>
      <c r="H1005" s="1">
        <v>261017</v>
      </c>
      <c r="M1005" t="s">
        <v>986</v>
      </c>
      <c r="N1005" t="s">
        <v>1594</v>
      </c>
    </row>
    <row r="1006" spans="1:14" x14ac:dyDescent="0.25">
      <c r="A1006" t="s">
        <v>987</v>
      </c>
      <c r="B1006" t="str">
        <f t="shared" si="30"/>
        <v>p__Bacteroidota</v>
      </c>
      <c r="C1006" s="1">
        <v>16</v>
      </c>
      <c r="D1006" s="3">
        <v>2128078</v>
      </c>
      <c r="E1006" s="3">
        <f t="shared" si="31"/>
        <v>2.1280779999999999</v>
      </c>
      <c r="F1006" s="1">
        <v>13828</v>
      </c>
      <c r="G1006" s="2">
        <v>133004.9</v>
      </c>
      <c r="H1006" s="1">
        <v>374529</v>
      </c>
      <c r="M1006" t="s">
        <v>987</v>
      </c>
      <c r="N1006" t="s">
        <v>1594</v>
      </c>
    </row>
    <row r="1007" spans="1:14" x14ac:dyDescent="0.25">
      <c r="A1007" t="s">
        <v>988</v>
      </c>
      <c r="B1007" t="str">
        <f t="shared" si="30"/>
        <v>p__Bacteroidota</v>
      </c>
      <c r="C1007" s="1">
        <v>17</v>
      </c>
      <c r="D1007" s="3">
        <v>2776186</v>
      </c>
      <c r="E1007" s="3">
        <f t="shared" si="31"/>
        <v>2.776186</v>
      </c>
      <c r="F1007" s="1">
        <v>8411</v>
      </c>
      <c r="G1007" s="2">
        <v>163305.1</v>
      </c>
      <c r="H1007" s="1">
        <v>585900</v>
      </c>
      <c r="M1007" t="s">
        <v>988</v>
      </c>
      <c r="N1007" t="s">
        <v>1594</v>
      </c>
    </row>
    <row r="1008" spans="1:14" x14ac:dyDescent="0.25">
      <c r="A1008" t="s">
        <v>989</v>
      </c>
      <c r="B1008" t="str">
        <f t="shared" si="30"/>
        <v>p__Bacteroidota</v>
      </c>
      <c r="C1008" s="1">
        <v>48</v>
      </c>
      <c r="D1008" s="3">
        <v>2323286</v>
      </c>
      <c r="E1008" s="3">
        <f t="shared" si="31"/>
        <v>2.323286</v>
      </c>
      <c r="F1008" s="1">
        <v>8969</v>
      </c>
      <c r="G1008" s="2">
        <v>48401.8</v>
      </c>
      <c r="H1008" s="1">
        <v>317015</v>
      </c>
      <c r="M1008" t="s">
        <v>989</v>
      </c>
      <c r="N1008" t="s">
        <v>1594</v>
      </c>
    </row>
    <row r="1009" spans="1:14" x14ac:dyDescent="0.25">
      <c r="A1009" t="s">
        <v>990</v>
      </c>
      <c r="B1009" t="str">
        <f t="shared" si="30"/>
        <v>p__Bacteroidota</v>
      </c>
      <c r="C1009" s="1">
        <v>37</v>
      </c>
      <c r="D1009" s="3">
        <v>1402190</v>
      </c>
      <c r="E1009" s="3">
        <f t="shared" si="31"/>
        <v>1.40219</v>
      </c>
      <c r="F1009" s="1">
        <v>2820</v>
      </c>
      <c r="G1009" s="1">
        <v>37897</v>
      </c>
      <c r="H1009" s="1">
        <v>122877</v>
      </c>
      <c r="M1009" t="s">
        <v>990</v>
      </c>
      <c r="N1009" t="s">
        <v>1594</v>
      </c>
    </row>
    <row r="1010" spans="1:14" x14ac:dyDescent="0.25">
      <c r="A1010" t="s">
        <v>991</v>
      </c>
      <c r="B1010" t="str">
        <f t="shared" si="30"/>
        <v>p__Bacteroidota</v>
      </c>
      <c r="C1010" s="1">
        <v>17</v>
      </c>
      <c r="D1010" s="3">
        <v>1190708</v>
      </c>
      <c r="E1010" s="3">
        <f t="shared" si="31"/>
        <v>1.1907080000000001</v>
      </c>
      <c r="F1010" s="1">
        <v>17176</v>
      </c>
      <c r="G1010" s="2">
        <v>70041.600000000006</v>
      </c>
      <c r="H1010" s="1">
        <v>234213</v>
      </c>
      <c r="M1010" t="s">
        <v>991</v>
      </c>
      <c r="N1010" t="s">
        <v>1594</v>
      </c>
    </row>
    <row r="1011" spans="1:14" x14ac:dyDescent="0.25">
      <c r="A1011" t="s">
        <v>992</v>
      </c>
      <c r="B1011" t="str">
        <f t="shared" si="30"/>
        <v>p__Bacteroidota</v>
      </c>
      <c r="C1011" s="1">
        <v>102</v>
      </c>
      <c r="D1011" s="3">
        <v>1850865</v>
      </c>
      <c r="E1011" s="3">
        <f t="shared" si="31"/>
        <v>1.850865</v>
      </c>
      <c r="F1011" s="2">
        <v>2012</v>
      </c>
      <c r="G1011" s="1">
        <v>18145.7</v>
      </c>
      <c r="H1011" s="1">
        <v>195598</v>
      </c>
      <c r="M1011" t="s">
        <v>992</v>
      </c>
      <c r="N1011" t="s">
        <v>1594</v>
      </c>
    </row>
    <row r="1012" spans="1:14" x14ac:dyDescent="0.25">
      <c r="A1012" t="s">
        <v>993</v>
      </c>
      <c r="B1012" t="str">
        <f t="shared" si="30"/>
        <v>p__Bacteroidota</v>
      </c>
      <c r="C1012" s="1">
        <v>31</v>
      </c>
      <c r="D1012" s="3">
        <v>1693042</v>
      </c>
      <c r="E1012" s="3">
        <f t="shared" si="31"/>
        <v>1.6930419999999999</v>
      </c>
      <c r="F1012" s="1">
        <v>5530</v>
      </c>
      <c r="G1012" s="2">
        <v>54614.3</v>
      </c>
      <c r="H1012" s="1">
        <v>245238</v>
      </c>
      <c r="M1012" t="s">
        <v>993</v>
      </c>
      <c r="N1012" t="s">
        <v>1594</v>
      </c>
    </row>
    <row r="1013" spans="1:14" x14ac:dyDescent="0.25">
      <c r="A1013" t="s">
        <v>994</v>
      </c>
      <c r="B1013" t="str">
        <f t="shared" si="30"/>
        <v>p__Bacteroidota</v>
      </c>
      <c r="C1013" s="1">
        <v>34</v>
      </c>
      <c r="D1013" s="3">
        <v>1712704</v>
      </c>
      <c r="E1013" s="3">
        <f t="shared" si="31"/>
        <v>1.712704</v>
      </c>
      <c r="F1013" s="1">
        <v>8727</v>
      </c>
      <c r="G1013" s="2">
        <v>50373.599999999999</v>
      </c>
      <c r="H1013" s="1">
        <v>133624</v>
      </c>
      <c r="M1013" t="s">
        <v>994</v>
      </c>
      <c r="N1013" t="s">
        <v>1594</v>
      </c>
    </row>
    <row r="1014" spans="1:14" x14ac:dyDescent="0.25">
      <c r="A1014" t="s">
        <v>995</v>
      </c>
      <c r="B1014" t="str">
        <f t="shared" si="30"/>
        <v>p__Bacteroidota</v>
      </c>
      <c r="C1014" s="1">
        <v>54</v>
      </c>
      <c r="D1014" s="3">
        <v>3636655</v>
      </c>
      <c r="E1014" s="3">
        <f t="shared" si="31"/>
        <v>3.6366550000000002</v>
      </c>
      <c r="F1014" s="1">
        <v>2089</v>
      </c>
      <c r="G1014" s="2">
        <v>67345.5</v>
      </c>
      <c r="H1014" s="1">
        <v>604556</v>
      </c>
      <c r="M1014" t="s">
        <v>995</v>
      </c>
      <c r="N1014" t="s">
        <v>1594</v>
      </c>
    </row>
    <row r="1015" spans="1:14" x14ac:dyDescent="0.25">
      <c r="A1015" t="s">
        <v>996</v>
      </c>
      <c r="B1015" t="str">
        <f t="shared" si="30"/>
        <v>p__Bacteroidota</v>
      </c>
      <c r="C1015" s="1">
        <v>67</v>
      </c>
      <c r="D1015" s="3">
        <v>2714747</v>
      </c>
      <c r="E1015" s="3">
        <f t="shared" si="31"/>
        <v>2.714747</v>
      </c>
      <c r="F1015" s="1">
        <v>5013</v>
      </c>
      <c r="G1015" s="2">
        <v>40518.6</v>
      </c>
      <c r="H1015" s="1">
        <v>225577</v>
      </c>
      <c r="M1015" t="s">
        <v>996</v>
      </c>
      <c r="N1015" t="s">
        <v>1594</v>
      </c>
    </row>
    <row r="1016" spans="1:14" x14ac:dyDescent="0.25">
      <c r="A1016" t="s">
        <v>997</v>
      </c>
      <c r="B1016" t="str">
        <f t="shared" si="30"/>
        <v>p__Bacteroidota</v>
      </c>
      <c r="C1016" s="1">
        <v>50</v>
      </c>
      <c r="D1016" s="3">
        <v>2524735</v>
      </c>
      <c r="E1016" s="3">
        <f t="shared" si="31"/>
        <v>2.5247350000000002</v>
      </c>
      <c r="F1016" s="1">
        <v>2551</v>
      </c>
      <c r="G1016" s="2">
        <v>50494.7</v>
      </c>
      <c r="H1016" s="1">
        <v>238230</v>
      </c>
      <c r="M1016" t="s">
        <v>997</v>
      </c>
      <c r="N1016" t="s">
        <v>1594</v>
      </c>
    </row>
    <row r="1017" spans="1:14" x14ac:dyDescent="0.25">
      <c r="A1017" t="s">
        <v>998</v>
      </c>
      <c r="B1017" t="str">
        <f t="shared" si="30"/>
        <v>p__Bacteroidota</v>
      </c>
      <c r="C1017" s="1">
        <v>20</v>
      </c>
      <c r="D1017" s="3">
        <v>2068193</v>
      </c>
      <c r="E1017" s="3">
        <f t="shared" si="31"/>
        <v>2.0681929999999999</v>
      </c>
      <c r="F1017" s="1">
        <v>10315</v>
      </c>
      <c r="G1017" s="2">
        <v>103409.7</v>
      </c>
      <c r="H1017" s="1">
        <v>324311</v>
      </c>
      <c r="M1017" t="s">
        <v>998</v>
      </c>
      <c r="N1017" t="s">
        <v>1594</v>
      </c>
    </row>
    <row r="1018" spans="1:14" x14ac:dyDescent="0.25">
      <c r="A1018" t="s">
        <v>1272</v>
      </c>
      <c r="B1018" t="str">
        <f t="shared" si="30"/>
        <v>p__Bacteroidota</v>
      </c>
      <c r="C1018" s="1">
        <v>7</v>
      </c>
      <c r="D1018" s="3">
        <v>3025881</v>
      </c>
      <c r="E1018" s="3">
        <f t="shared" si="31"/>
        <v>3.025881</v>
      </c>
      <c r="F1018" s="1">
        <v>111136</v>
      </c>
      <c r="G1018" s="2">
        <v>432268.7</v>
      </c>
      <c r="H1018" s="1">
        <v>780501</v>
      </c>
      <c r="M1018" t="s">
        <v>1272</v>
      </c>
      <c r="N1018" t="s">
        <v>1594</v>
      </c>
    </row>
    <row r="1019" spans="1:14" x14ac:dyDescent="0.25">
      <c r="A1019" t="s">
        <v>1273</v>
      </c>
      <c r="B1019" t="str">
        <f t="shared" si="30"/>
        <v>p__Bacteroidota</v>
      </c>
      <c r="C1019" s="1">
        <v>29</v>
      </c>
      <c r="D1019" s="3">
        <v>1941131</v>
      </c>
      <c r="E1019" s="3">
        <f t="shared" si="31"/>
        <v>1.9411309999999999</v>
      </c>
      <c r="F1019" s="1">
        <v>7026</v>
      </c>
      <c r="G1019" s="2">
        <v>66935.600000000006</v>
      </c>
      <c r="H1019" s="1">
        <v>338764</v>
      </c>
      <c r="M1019" t="s">
        <v>1273</v>
      </c>
      <c r="N1019" t="s">
        <v>1594</v>
      </c>
    </row>
    <row r="1020" spans="1:14" x14ac:dyDescent="0.25">
      <c r="A1020" t="s">
        <v>1274</v>
      </c>
      <c r="B1020" t="str">
        <f t="shared" si="30"/>
        <v>p__Bacteroidota</v>
      </c>
      <c r="C1020" s="1">
        <v>8</v>
      </c>
      <c r="D1020" s="3">
        <v>2173017</v>
      </c>
      <c r="E1020" s="3">
        <f t="shared" si="31"/>
        <v>2.1730170000000002</v>
      </c>
      <c r="F1020" s="1">
        <v>15344</v>
      </c>
      <c r="G1020" s="2">
        <v>271627.09999999998</v>
      </c>
      <c r="H1020" s="1">
        <v>618970</v>
      </c>
      <c r="M1020" t="s">
        <v>1274</v>
      </c>
      <c r="N1020" t="s">
        <v>1594</v>
      </c>
    </row>
    <row r="1021" spans="1:14" x14ac:dyDescent="0.25">
      <c r="A1021" t="s">
        <v>1275</v>
      </c>
      <c r="B1021" t="str">
        <f t="shared" si="30"/>
        <v>p__Bacteroidota</v>
      </c>
      <c r="C1021" s="1">
        <v>105</v>
      </c>
      <c r="D1021" s="3">
        <v>2517628</v>
      </c>
      <c r="E1021" s="3">
        <f t="shared" si="31"/>
        <v>2.5176280000000002</v>
      </c>
      <c r="F1021" s="2">
        <v>2022</v>
      </c>
      <c r="G1021" s="1">
        <v>23977.4</v>
      </c>
      <c r="H1021" s="1">
        <v>271096</v>
      </c>
      <c r="M1021" t="s">
        <v>1275</v>
      </c>
      <c r="N1021" t="s">
        <v>1594</v>
      </c>
    </row>
    <row r="1022" spans="1:14" x14ac:dyDescent="0.25">
      <c r="A1022" t="s">
        <v>1276</v>
      </c>
      <c r="B1022" t="str">
        <f t="shared" si="30"/>
        <v>p__Bacteroidota</v>
      </c>
      <c r="C1022" s="1">
        <v>38</v>
      </c>
      <c r="D1022" s="3">
        <v>2086162</v>
      </c>
      <c r="E1022" s="3">
        <f t="shared" si="31"/>
        <v>2.0861619999999998</v>
      </c>
      <c r="F1022" s="1">
        <v>2114</v>
      </c>
      <c r="G1022" s="1">
        <v>54899</v>
      </c>
      <c r="H1022" s="1">
        <v>217167</v>
      </c>
      <c r="M1022" t="s">
        <v>1276</v>
      </c>
      <c r="N1022" t="s">
        <v>1594</v>
      </c>
    </row>
    <row r="1023" spans="1:14" x14ac:dyDescent="0.25">
      <c r="A1023" t="s">
        <v>1277</v>
      </c>
      <c r="B1023" t="str">
        <f t="shared" si="30"/>
        <v>p__Bacteroidota</v>
      </c>
      <c r="C1023" s="1">
        <v>11</v>
      </c>
      <c r="D1023" s="3">
        <v>2042362</v>
      </c>
      <c r="E1023" s="3">
        <f t="shared" si="31"/>
        <v>2.0423619999999998</v>
      </c>
      <c r="F1023" s="1">
        <v>34913</v>
      </c>
      <c r="G1023" s="2">
        <v>185669.3</v>
      </c>
      <c r="H1023" s="1">
        <v>716624</v>
      </c>
      <c r="M1023" t="s">
        <v>1277</v>
      </c>
      <c r="N1023" t="s">
        <v>1594</v>
      </c>
    </row>
    <row r="1024" spans="1:14" x14ac:dyDescent="0.25">
      <c r="A1024" t="s">
        <v>1278</v>
      </c>
      <c r="B1024" t="str">
        <f t="shared" si="30"/>
        <v>p__Bacteroidota</v>
      </c>
      <c r="C1024" s="1">
        <v>8</v>
      </c>
      <c r="D1024" s="3">
        <v>4478696</v>
      </c>
      <c r="E1024" s="3">
        <f t="shared" si="31"/>
        <v>4.4786960000000002</v>
      </c>
      <c r="F1024" s="1">
        <v>36614</v>
      </c>
      <c r="G1024" s="1">
        <v>559837</v>
      </c>
      <c r="H1024" s="1">
        <v>1885943</v>
      </c>
      <c r="M1024" t="s">
        <v>1278</v>
      </c>
      <c r="N1024" t="s">
        <v>1594</v>
      </c>
    </row>
    <row r="1025" spans="1:14" x14ac:dyDescent="0.25">
      <c r="A1025" t="s">
        <v>1279</v>
      </c>
      <c r="B1025" t="str">
        <f t="shared" si="30"/>
        <v>p__Bacteroidota</v>
      </c>
      <c r="C1025" s="1">
        <v>14</v>
      </c>
      <c r="D1025" s="3">
        <v>2484840</v>
      </c>
      <c r="E1025" s="3">
        <f t="shared" si="31"/>
        <v>2.4848400000000002</v>
      </c>
      <c r="F1025" s="1">
        <v>8046</v>
      </c>
      <c r="G1025" s="2">
        <v>177488.6</v>
      </c>
      <c r="H1025" s="1">
        <v>562824</v>
      </c>
      <c r="M1025" t="s">
        <v>1279</v>
      </c>
      <c r="N1025" t="s">
        <v>1594</v>
      </c>
    </row>
    <row r="1026" spans="1:14" x14ac:dyDescent="0.25">
      <c r="A1026" t="s">
        <v>1280</v>
      </c>
      <c r="B1026" t="str">
        <f t="shared" ref="B1026:B1089" si="32">VLOOKUP(A1026,M:N,2,FALSE)</f>
        <v>p__Bacteroidota</v>
      </c>
      <c r="C1026" s="1">
        <v>25</v>
      </c>
      <c r="D1026" s="3">
        <v>2296003</v>
      </c>
      <c r="E1026" s="3">
        <f t="shared" ref="E1026:E1089" si="33">D1026/1000000</f>
        <v>2.2960029999999998</v>
      </c>
      <c r="F1026" s="1">
        <v>2519</v>
      </c>
      <c r="G1026" s="2">
        <v>91840.1</v>
      </c>
      <c r="H1026" s="1">
        <v>437633</v>
      </c>
      <c r="M1026" t="s">
        <v>1280</v>
      </c>
      <c r="N1026" t="s">
        <v>1594</v>
      </c>
    </row>
    <row r="1027" spans="1:14" x14ac:dyDescent="0.25">
      <c r="A1027" t="s">
        <v>1281</v>
      </c>
      <c r="B1027" t="str">
        <f t="shared" si="32"/>
        <v>p__Bacteroidota</v>
      </c>
      <c r="C1027" s="1">
        <v>31</v>
      </c>
      <c r="D1027" s="3">
        <v>2288786</v>
      </c>
      <c r="E1027" s="3">
        <f t="shared" si="33"/>
        <v>2.288786</v>
      </c>
      <c r="F1027" s="1">
        <v>2018</v>
      </c>
      <c r="G1027" s="2">
        <v>73831.8</v>
      </c>
      <c r="H1027" s="1">
        <v>221870</v>
      </c>
      <c r="M1027" t="s">
        <v>1281</v>
      </c>
      <c r="N1027" t="s">
        <v>1594</v>
      </c>
    </row>
    <row r="1028" spans="1:14" x14ac:dyDescent="0.25">
      <c r="A1028" t="s">
        <v>1282</v>
      </c>
      <c r="B1028" t="str">
        <f t="shared" si="32"/>
        <v>p__Bacteroidota</v>
      </c>
      <c r="C1028" s="1">
        <v>40</v>
      </c>
      <c r="D1028" s="3">
        <v>2606959</v>
      </c>
      <c r="E1028" s="3">
        <f t="shared" si="33"/>
        <v>2.6069589999999998</v>
      </c>
      <c r="F1028" s="1">
        <v>3066</v>
      </c>
      <c r="G1028" s="1">
        <v>65174</v>
      </c>
      <c r="H1028" s="1">
        <v>310803</v>
      </c>
      <c r="M1028" t="s">
        <v>1282</v>
      </c>
      <c r="N1028" t="s">
        <v>1594</v>
      </c>
    </row>
    <row r="1029" spans="1:14" x14ac:dyDescent="0.25">
      <c r="A1029" t="s">
        <v>1283</v>
      </c>
      <c r="B1029" t="str">
        <f t="shared" si="32"/>
        <v>p__Bacteroidota</v>
      </c>
      <c r="C1029" s="1">
        <v>54</v>
      </c>
      <c r="D1029" s="3">
        <v>3376850</v>
      </c>
      <c r="E1029" s="3">
        <f t="shared" si="33"/>
        <v>3.3768500000000001</v>
      </c>
      <c r="F1029" s="1">
        <v>2497</v>
      </c>
      <c r="G1029" s="2">
        <v>62534.3</v>
      </c>
      <c r="H1029" s="1">
        <v>499722</v>
      </c>
      <c r="M1029" t="s">
        <v>1283</v>
      </c>
      <c r="N1029" t="s">
        <v>1594</v>
      </c>
    </row>
    <row r="1030" spans="1:14" x14ac:dyDescent="0.25">
      <c r="A1030" t="s">
        <v>1284</v>
      </c>
      <c r="B1030" t="str">
        <f t="shared" si="32"/>
        <v>p__Bacteroidota</v>
      </c>
      <c r="C1030" s="1">
        <v>1</v>
      </c>
      <c r="D1030" s="3">
        <v>2428681</v>
      </c>
      <c r="E1030" s="3">
        <f t="shared" si="33"/>
        <v>2.4286810000000001</v>
      </c>
      <c r="F1030" s="1">
        <v>2428681</v>
      </c>
      <c r="G1030" s="1">
        <v>2428681</v>
      </c>
      <c r="H1030" s="1">
        <v>2428681</v>
      </c>
      <c r="M1030" t="s">
        <v>1284</v>
      </c>
      <c r="N1030" t="s">
        <v>1594</v>
      </c>
    </row>
    <row r="1031" spans="1:14" x14ac:dyDescent="0.25">
      <c r="A1031" t="s">
        <v>1285</v>
      </c>
      <c r="B1031" t="str">
        <f t="shared" si="32"/>
        <v>p__Bacteroidota</v>
      </c>
      <c r="C1031" s="1">
        <v>16</v>
      </c>
      <c r="D1031" s="3">
        <v>2746724</v>
      </c>
      <c r="E1031" s="3">
        <f t="shared" si="33"/>
        <v>2.7467239999999999</v>
      </c>
      <c r="F1031" s="1">
        <v>46314</v>
      </c>
      <c r="G1031" s="2">
        <v>171670.3</v>
      </c>
      <c r="H1031" s="1">
        <v>661480</v>
      </c>
      <c r="M1031" t="s">
        <v>1285</v>
      </c>
      <c r="N1031" t="s">
        <v>1594</v>
      </c>
    </row>
    <row r="1032" spans="1:14" x14ac:dyDescent="0.25">
      <c r="A1032" t="s">
        <v>1286</v>
      </c>
      <c r="B1032" t="str">
        <f t="shared" si="32"/>
        <v>p__Bacteroidota</v>
      </c>
      <c r="C1032" s="1">
        <v>29</v>
      </c>
      <c r="D1032" s="3">
        <v>2601930</v>
      </c>
      <c r="E1032" s="3">
        <f t="shared" si="33"/>
        <v>2.6019299999999999</v>
      </c>
      <c r="F1032" s="1">
        <v>4293</v>
      </c>
      <c r="G1032" s="2">
        <v>89721.7</v>
      </c>
      <c r="H1032" s="1">
        <v>294036</v>
      </c>
      <c r="M1032" t="s">
        <v>1286</v>
      </c>
      <c r="N1032" t="s">
        <v>1594</v>
      </c>
    </row>
    <row r="1033" spans="1:14" x14ac:dyDescent="0.25">
      <c r="A1033" t="s">
        <v>1287</v>
      </c>
      <c r="B1033" t="str">
        <f t="shared" si="32"/>
        <v>p__Bacteroidota</v>
      </c>
      <c r="C1033" s="1">
        <v>42</v>
      </c>
      <c r="D1033" s="3">
        <v>3524716</v>
      </c>
      <c r="E1033" s="3">
        <f t="shared" si="33"/>
        <v>3.5247160000000002</v>
      </c>
      <c r="F1033" s="1">
        <v>2052</v>
      </c>
      <c r="G1033" s="2">
        <v>83921.8</v>
      </c>
      <c r="H1033" s="1">
        <v>549573</v>
      </c>
      <c r="M1033" t="s">
        <v>1287</v>
      </c>
      <c r="N1033" t="s">
        <v>1594</v>
      </c>
    </row>
    <row r="1034" spans="1:14" x14ac:dyDescent="0.25">
      <c r="A1034" t="s">
        <v>1288</v>
      </c>
      <c r="B1034" t="str">
        <f t="shared" si="32"/>
        <v>p__Bacteroidota</v>
      </c>
      <c r="C1034" s="1">
        <v>10</v>
      </c>
      <c r="D1034" s="3">
        <v>6734574</v>
      </c>
      <c r="E1034" s="3">
        <f t="shared" si="33"/>
        <v>6.7345740000000003</v>
      </c>
      <c r="F1034" s="1">
        <v>46052</v>
      </c>
      <c r="G1034" s="2">
        <v>673457.4</v>
      </c>
      <c r="H1034" s="1">
        <v>1965686</v>
      </c>
      <c r="M1034" t="s">
        <v>1288</v>
      </c>
      <c r="N1034" t="s">
        <v>1594</v>
      </c>
    </row>
    <row r="1035" spans="1:14" x14ac:dyDescent="0.25">
      <c r="A1035" t="s">
        <v>1289</v>
      </c>
      <c r="B1035" t="str">
        <f t="shared" si="32"/>
        <v>p__Bacteroidota</v>
      </c>
      <c r="C1035" s="1">
        <v>42</v>
      </c>
      <c r="D1035" s="3">
        <v>4634459</v>
      </c>
      <c r="E1035" s="3">
        <f t="shared" si="33"/>
        <v>4.6344589999999997</v>
      </c>
      <c r="F1035" s="1">
        <v>2136</v>
      </c>
      <c r="G1035" s="2">
        <v>110344.3</v>
      </c>
      <c r="H1035" s="1">
        <v>556282</v>
      </c>
      <c r="M1035" t="s">
        <v>1289</v>
      </c>
      <c r="N1035" t="s">
        <v>1594</v>
      </c>
    </row>
    <row r="1036" spans="1:14" x14ac:dyDescent="0.25">
      <c r="A1036" t="s">
        <v>1290</v>
      </c>
      <c r="B1036" t="str">
        <f t="shared" si="32"/>
        <v>p__Bacteroidota</v>
      </c>
      <c r="C1036" s="1">
        <v>8</v>
      </c>
      <c r="D1036" s="3">
        <v>3187533</v>
      </c>
      <c r="E1036" s="3">
        <f t="shared" si="33"/>
        <v>3.1875330000000002</v>
      </c>
      <c r="F1036" s="1">
        <v>16895</v>
      </c>
      <c r="G1036" s="2">
        <v>398441.6</v>
      </c>
      <c r="H1036" s="1">
        <v>943820</v>
      </c>
      <c r="M1036" t="s">
        <v>1290</v>
      </c>
      <c r="N1036" t="s">
        <v>1594</v>
      </c>
    </row>
    <row r="1037" spans="1:14" x14ac:dyDescent="0.25">
      <c r="A1037" t="s">
        <v>1291</v>
      </c>
      <c r="B1037" t="str">
        <f t="shared" si="32"/>
        <v>p__Bacteroidota</v>
      </c>
      <c r="C1037" s="1">
        <v>54</v>
      </c>
      <c r="D1037" s="3">
        <v>4870107</v>
      </c>
      <c r="E1037" s="3">
        <f t="shared" si="33"/>
        <v>4.870107</v>
      </c>
      <c r="F1037" s="1">
        <v>5149</v>
      </c>
      <c r="G1037" s="2">
        <v>90187.199999999997</v>
      </c>
      <c r="H1037" s="1">
        <v>490035</v>
      </c>
      <c r="M1037" t="s">
        <v>1291</v>
      </c>
      <c r="N1037" t="s">
        <v>1594</v>
      </c>
    </row>
    <row r="1038" spans="1:14" x14ac:dyDescent="0.25">
      <c r="A1038" t="s">
        <v>1292</v>
      </c>
      <c r="B1038" t="str">
        <f t="shared" si="32"/>
        <v>p__Bacteroidota</v>
      </c>
      <c r="C1038" s="1">
        <v>22</v>
      </c>
      <c r="D1038" s="3">
        <v>4442091</v>
      </c>
      <c r="E1038" s="3">
        <f t="shared" si="33"/>
        <v>4.4420909999999996</v>
      </c>
      <c r="F1038" s="1">
        <v>14060</v>
      </c>
      <c r="G1038" s="2">
        <v>201913.2</v>
      </c>
      <c r="H1038" s="1">
        <v>510157</v>
      </c>
      <c r="M1038" t="s">
        <v>1292</v>
      </c>
      <c r="N1038" t="s">
        <v>1594</v>
      </c>
    </row>
    <row r="1039" spans="1:14" x14ac:dyDescent="0.25">
      <c r="A1039" t="s">
        <v>1293</v>
      </c>
      <c r="B1039" t="str">
        <f t="shared" si="32"/>
        <v>p__Bacteroidota</v>
      </c>
      <c r="C1039" s="1">
        <v>28</v>
      </c>
      <c r="D1039" s="3">
        <v>3863170</v>
      </c>
      <c r="E1039" s="3">
        <f t="shared" si="33"/>
        <v>3.8631700000000002</v>
      </c>
      <c r="F1039" s="1">
        <v>19233</v>
      </c>
      <c r="G1039" s="2">
        <v>137970.4</v>
      </c>
      <c r="H1039" s="1">
        <v>364534</v>
      </c>
      <c r="M1039" t="s">
        <v>1293</v>
      </c>
      <c r="N1039" t="s">
        <v>1594</v>
      </c>
    </row>
    <row r="1040" spans="1:14" x14ac:dyDescent="0.25">
      <c r="A1040" t="s">
        <v>1294</v>
      </c>
      <c r="B1040" t="str">
        <f t="shared" si="32"/>
        <v>p__Bacteroidota</v>
      </c>
      <c r="C1040" s="1">
        <v>87</v>
      </c>
      <c r="D1040" s="3">
        <v>3396406</v>
      </c>
      <c r="E1040" s="3">
        <f t="shared" si="33"/>
        <v>3.3964059999999998</v>
      </c>
      <c r="F1040" s="1">
        <v>3748</v>
      </c>
      <c r="G1040" s="2">
        <v>39039.1</v>
      </c>
      <c r="H1040" s="1">
        <v>176075</v>
      </c>
      <c r="M1040" t="s">
        <v>1294</v>
      </c>
      <c r="N1040" t="s">
        <v>1594</v>
      </c>
    </row>
    <row r="1041" spans="1:14" x14ac:dyDescent="0.25">
      <c r="A1041" t="s">
        <v>1295</v>
      </c>
      <c r="B1041" t="str">
        <f t="shared" si="32"/>
        <v>p__Bacteroidota</v>
      </c>
      <c r="C1041" s="1">
        <v>70</v>
      </c>
      <c r="D1041" s="3">
        <v>4080855</v>
      </c>
      <c r="E1041" s="3">
        <f t="shared" si="33"/>
        <v>4.0808549999999997</v>
      </c>
      <c r="F1041" s="1">
        <v>2266</v>
      </c>
      <c r="G1041" s="2">
        <v>58297.9</v>
      </c>
      <c r="H1041" s="1">
        <v>677771</v>
      </c>
      <c r="M1041" t="s">
        <v>1295</v>
      </c>
      <c r="N1041" t="s">
        <v>1594</v>
      </c>
    </row>
    <row r="1042" spans="1:14" x14ac:dyDescent="0.25">
      <c r="A1042" t="s">
        <v>1296</v>
      </c>
      <c r="B1042" t="str">
        <f t="shared" si="32"/>
        <v>p__Bacteroidota</v>
      </c>
      <c r="C1042" s="1">
        <v>32</v>
      </c>
      <c r="D1042" s="3">
        <v>5309674</v>
      </c>
      <c r="E1042" s="3">
        <f t="shared" si="33"/>
        <v>5.3096740000000002</v>
      </c>
      <c r="F1042" s="1">
        <v>22154</v>
      </c>
      <c r="G1042" s="2">
        <v>165927.29999999999</v>
      </c>
      <c r="H1042" s="1">
        <v>651701</v>
      </c>
      <c r="M1042" t="s">
        <v>1296</v>
      </c>
      <c r="N1042" t="s">
        <v>1594</v>
      </c>
    </row>
    <row r="1043" spans="1:14" x14ac:dyDescent="0.25">
      <c r="A1043" t="s">
        <v>1297</v>
      </c>
      <c r="B1043" t="str">
        <f t="shared" si="32"/>
        <v>p__Bacteroidota</v>
      </c>
      <c r="C1043" s="1">
        <v>27</v>
      </c>
      <c r="D1043" s="3">
        <v>4357751</v>
      </c>
      <c r="E1043" s="3">
        <f t="shared" si="33"/>
        <v>4.3577510000000004</v>
      </c>
      <c r="F1043" s="1">
        <v>9039</v>
      </c>
      <c r="G1043" s="2">
        <v>161398.20000000001</v>
      </c>
      <c r="H1043" s="1">
        <v>941475</v>
      </c>
      <c r="M1043" t="s">
        <v>1297</v>
      </c>
      <c r="N1043" t="s">
        <v>1594</v>
      </c>
    </row>
    <row r="1044" spans="1:14" x14ac:dyDescent="0.25">
      <c r="A1044" t="s">
        <v>1298</v>
      </c>
      <c r="B1044" t="str">
        <f t="shared" si="32"/>
        <v>p__Bacteroidota</v>
      </c>
      <c r="C1044" s="1">
        <v>6</v>
      </c>
      <c r="D1044" s="3">
        <v>3659028</v>
      </c>
      <c r="E1044" s="3">
        <f t="shared" si="33"/>
        <v>3.6590280000000002</v>
      </c>
      <c r="F1044" s="1">
        <v>93906</v>
      </c>
      <c r="G1044" s="1">
        <v>609838</v>
      </c>
      <c r="H1044" s="1">
        <v>1548122</v>
      </c>
      <c r="M1044" t="s">
        <v>1298</v>
      </c>
      <c r="N1044" t="s">
        <v>1594</v>
      </c>
    </row>
    <row r="1045" spans="1:14" x14ac:dyDescent="0.25">
      <c r="A1045" t="s">
        <v>1299</v>
      </c>
      <c r="B1045" t="str">
        <f t="shared" si="32"/>
        <v>p__Bacteroidota</v>
      </c>
      <c r="C1045" s="1">
        <v>30</v>
      </c>
      <c r="D1045" s="3">
        <v>6288898</v>
      </c>
      <c r="E1045" s="3">
        <f t="shared" si="33"/>
        <v>6.2888979999999997</v>
      </c>
      <c r="F1045" s="1">
        <v>10504</v>
      </c>
      <c r="G1045" s="2">
        <v>209629.9</v>
      </c>
      <c r="H1045" s="1">
        <v>741541</v>
      </c>
      <c r="M1045" t="s">
        <v>1299</v>
      </c>
      <c r="N1045" t="s">
        <v>1594</v>
      </c>
    </row>
    <row r="1046" spans="1:14" x14ac:dyDescent="0.25">
      <c r="A1046" t="s">
        <v>1300</v>
      </c>
      <c r="B1046" t="str">
        <f t="shared" si="32"/>
        <v>p__Bacteroidota</v>
      </c>
      <c r="C1046" s="1">
        <v>30</v>
      </c>
      <c r="D1046" s="3">
        <v>3334958</v>
      </c>
      <c r="E1046" s="3">
        <f t="shared" si="33"/>
        <v>3.3349579999999999</v>
      </c>
      <c r="F1046" s="1">
        <v>5258</v>
      </c>
      <c r="G1046" s="2">
        <v>111165.3</v>
      </c>
      <c r="H1046" s="1">
        <v>403861</v>
      </c>
      <c r="M1046" t="s">
        <v>1300</v>
      </c>
      <c r="N1046" t="s">
        <v>1594</v>
      </c>
    </row>
    <row r="1047" spans="1:14" x14ac:dyDescent="0.25">
      <c r="A1047" t="s">
        <v>1301</v>
      </c>
      <c r="B1047" t="str">
        <f t="shared" si="32"/>
        <v>p__Bacteroidota</v>
      </c>
      <c r="C1047" s="1">
        <v>4</v>
      </c>
      <c r="D1047" s="3">
        <v>7388145</v>
      </c>
      <c r="E1047" s="3">
        <f t="shared" si="33"/>
        <v>7.3881449999999997</v>
      </c>
      <c r="F1047" s="1">
        <v>14506</v>
      </c>
      <c r="G1047" s="2">
        <v>1847036.3</v>
      </c>
      <c r="H1047" s="1">
        <v>3983397</v>
      </c>
      <c r="M1047" t="s">
        <v>1301</v>
      </c>
      <c r="N1047" t="s">
        <v>1594</v>
      </c>
    </row>
    <row r="1048" spans="1:14" x14ac:dyDescent="0.25">
      <c r="A1048" t="s">
        <v>1302</v>
      </c>
      <c r="B1048" t="str">
        <f t="shared" si="32"/>
        <v>p__Bacteroidota</v>
      </c>
      <c r="C1048" s="1">
        <v>23</v>
      </c>
      <c r="D1048" s="3">
        <v>7281348</v>
      </c>
      <c r="E1048" s="3">
        <f t="shared" si="33"/>
        <v>7.2813480000000004</v>
      </c>
      <c r="F1048" s="1">
        <v>2271</v>
      </c>
      <c r="G1048" s="2">
        <v>316580.3</v>
      </c>
      <c r="H1048" s="1">
        <v>1895825</v>
      </c>
      <c r="M1048" t="s">
        <v>1302</v>
      </c>
      <c r="N1048" t="s">
        <v>1594</v>
      </c>
    </row>
    <row r="1049" spans="1:14" x14ac:dyDescent="0.25">
      <c r="A1049" t="s">
        <v>1303</v>
      </c>
      <c r="B1049" t="str">
        <f t="shared" si="32"/>
        <v>p__Bacteroidota</v>
      </c>
      <c r="C1049" s="1">
        <v>41</v>
      </c>
      <c r="D1049" s="3">
        <v>4908759</v>
      </c>
      <c r="E1049" s="3">
        <f t="shared" si="33"/>
        <v>4.9087589999999999</v>
      </c>
      <c r="F1049" s="1">
        <v>2008</v>
      </c>
      <c r="G1049" s="2">
        <v>119725.8</v>
      </c>
      <c r="H1049" s="1">
        <v>444924</v>
      </c>
      <c r="M1049" t="s">
        <v>1303</v>
      </c>
      <c r="N1049" t="s">
        <v>1594</v>
      </c>
    </row>
    <row r="1050" spans="1:14" x14ac:dyDescent="0.25">
      <c r="A1050" t="s">
        <v>1304</v>
      </c>
      <c r="B1050" t="str">
        <f t="shared" si="32"/>
        <v>p__Bacteroidota</v>
      </c>
      <c r="C1050" s="1">
        <v>5</v>
      </c>
      <c r="D1050" s="3">
        <v>4294434</v>
      </c>
      <c r="E1050" s="3">
        <f t="shared" si="33"/>
        <v>4.2944339999999999</v>
      </c>
      <c r="F1050" s="1">
        <v>168293</v>
      </c>
      <c r="G1050" s="2">
        <v>858886.8</v>
      </c>
      <c r="H1050" s="1">
        <v>1893477</v>
      </c>
      <c r="M1050" t="s">
        <v>1304</v>
      </c>
      <c r="N1050" t="s">
        <v>1594</v>
      </c>
    </row>
    <row r="1051" spans="1:14" x14ac:dyDescent="0.25">
      <c r="A1051" t="s">
        <v>1305</v>
      </c>
      <c r="B1051" t="str">
        <f t="shared" si="32"/>
        <v>p__Bacteroidota</v>
      </c>
      <c r="C1051" s="1">
        <v>24</v>
      </c>
      <c r="D1051" s="3">
        <v>3844496</v>
      </c>
      <c r="E1051" s="3">
        <f t="shared" si="33"/>
        <v>3.8444959999999999</v>
      </c>
      <c r="F1051" s="1">
        <v>4386</v>
      </c>
      <c r="G1051" s="2">
        <v>160187.29999999999</v>
      </c>
      <c r="H1051" s="1">
        <v>524785</v>
      </c>
      <c r="M1051" t="s">
        <v>1305</v>
      </c>
      <c r="N1051" t="s">
        <v>1594</v>
      </c>
    </row>
    <row r="1052" spans="1:14" x14ac:dyDescent="0.25">
      <c r="A1052" t="s">
        <v>1306</v>
      </c>
      <c r="B1052" t="str">
        <f t="shared" si="32"/>
        <v>p__Bacteroidota</v>
      </c>
      <c r="C1052" s="1">
        <v>12</v>
      </c>
      <c r="D1052" s="3">
        <v>5720850</v>
      </c>
      <c r="E1052" s="3">
        <f t="shared" si="33"/>
        <v>5.7208500000000004</v>
      </c>
      <c r="F1052" s="1">
        <v>15595</v>
      </c>
      <c r="G1052" s="2">
        <v>476737.5</v>
      </c>
      <c r="H1052" s="1">
        <v>1600519</v>
      </c>
      <c r="M1052" t="s">
        <v>1306</v>
      </c>
      <c r="N1052" t="s">
        <v>1594</v>
      </c>
    </row>
    <row r="1053" spans="1:14" x14ac:dyDescent="0.25">
      <c r="A1053" t="s">
        <v>1307</v>
      </c>
      <c r="B1053" t="str">
        <f t="shared" si="32"/>
        <v>p__Bacteroidota</v>
      </c>
      <c r="C1053" s="1">
        <v>2</v>
      </c>
      <c r="D1053" s="3">
        <v>4488356</v>
      </c>
      <c r="E1053" s="3">
        <f t="shared" si="33"/>
        <v>4.4883559999999996</v>
      </c>
      <c r="F1053" s="1">
        <v>1178436</v>
      </c>
      <c r="G1053" s="1">
        <v>2244178</v>
      </c>
      <c r="H1053" s="1">
        <v>3309920</v>
      </c>
      <c r="M1053" t="s">
        <v>1307</v>
      </c>
      <c r="N1053" t="s">
        <v>1594</v>
      </c>
    </row>
    <row r="1054" spans="1:14" x14ac:dyDescent="0.25">
      <c r="A1054" t="s">
        <v>1308</v>
      </c>
      <c r="B1054" t="str">
        <f t="shared" si="32"/>
        <v>p__Bacteroidota</v>
      </c>
      <c r="C1054" s="1">
        <v>23</v>
      </c>
      <c r="D1054" s="3">
        <v>2084135</v>
      </c>
      <c r="E1054" s="3">
        <f t="shared" si="33"/>
        <v>2.0841349999999998</v>
      </c>
      <c r="F1054" s="1">
        <v>14721</v>
      </c>
      <c r="G1054" s="2">
        <v>90614.6</v>
      </c>
      <c r="H1054" s="1">
        <v>267325</v>
      </c>
      <c r="M1054" t="s">
        <v>1308</v>
      </c>
      <c r="N1054" t="s">
        <v>1594</v>
      </c>
    </row>
    <row r="1055" spans="1:14" x14ac:dyDescent="0.25">
      <c r="A1055" t="s">
        <v>1309</v>
      </c>
      <c r="B1055" t="str">
        <f t="shared" si="32"/>
        <v>p__Bacteroidota</v>
      </c>
      <c r="C1055" s="1">
        <v>21</v>
      </c>
      <c r="D1055" s="3">
        <v>2488331</v>
      </c>
      <c r="E1055" s="3">
        <f t="shared" si="33"/>
        <v>2.4883310000000001</v>
      </c>
      <c r="F1055" s="1">
        <v>19364</v>
      </c>
      <c r="G1055" s="1">
        <v>118492</v>
      </c>
      <c r="H1055" s="1">
        <v>505203</v>
      </c>
      <c r="M1055" t="s">
        <v>1309</v>
      </c>
      <c r="N1055" t="s">
        <v>1594</v>
      </c>
    </row>
    <row r="1056" spans="1:14" x14ac:dyDescent="0.25">
      <c r="A1056" t="s">
        <v>1310</v>
      </c>
      <c r="B1056" t="str">
        <f t="shared" si="32"/>
        <v>p__Bacteroidota</v>
      </c>
      <c r="C1056" s="1">
        <v>35</v>
      </c>
      <c r="D1056" s="3">
        <v>3296314</v>
      </c>
      <c r="E1056" s="3">
        <f t="shared" si="33"/>
        <v>3.2963140000000002</v>
      </c>
      <c r="F1056" s="1">
        <v>10203</v>
      </c>
      <c r="G1056" s="2">
        <v>94180.4</v>
      </c>
      <c r="H1056" s="1">
        <v>282231</v>
      </c>
      <c r="M1056" t="s">
        <v>1310</v>
      </c>
      <c r="N1056" t="s">
        <v>1594</v>
      </c>
    </row>
    <row r="1057" spans="1:14" x14ac:dyDescent="0.25">
      <c r="A1057" t="s">
        <v>1311</v>
      </c>
      <c r="B1057" t="str">
        <f t="shared" si="32"/>
        <v>p__Bacteroidota</v>
      </c>
      <c r="C1057" s="1">
        <v>53</v>
      </c>
      <c r="D1057" s="3">
        <v>2278039</v>
      </c>
      <c r="E1057" s="3">
        <f t="shared" si="33"/>
        <v>2.2780390000000001</v>
      </c>
      <c r="F1057" s="1">
        <v>7131</v>
      </c>
      <c r="G1057" s="2">
        <v>42981.9</v>
      </c>
      <c r="H1057" s="1">
        <v>142489</v>
      </c>
      <c r="M1057" t="s">
        <v>1311</v>
      </c>
      <c r="N1057" t="s">
        <v>1594</v>
      </c>
    </row>
    <row r="1058" spans="1:14" x14ac:dyDescent="0.25">
      <c r="A1058" t="s">
        <v>1312</v>
      </c>
      <c r="B1058" t="str">
        <f t="shared" si="32"/>
        <v>p__Bacteroidota</v>
      </c>
      <c r="C1058" s="1">
        <v>7</v>
      </c>
      <c r="D1058" s="3">
        <v>2168750</v>
      </c>
      <c r="E1058" s="3">
        <f t="shared" si="33"/>
        <v>2.1687500000000002</v>
      </c>
      <c r="F1058" s="1">
        <v>5368</v>
      </c>
      <c r="G1058" s="2">
        <v>309821.40000000002</v>
      </c>
      <c r="H1058" s="1">
        <v>936904</v>
      </c>
      <c r="M1058" t="s">
        <v>1312</v>
      </c>
      <c r="N1058" t="s">
        <v>1594</v>
      </c>
    </row>
    <row r="1059" spans="1:14" x14ac:dyDescent="0.25">
      <c r="A1059" t="s">
        <v>1313</v>
      </c>
      <c r="B1059" t="str">
        <f t="shared" si="32"/>
        <v>p__Bacteroidota</v>
      </c>
      <c r="C1059" s="1">
        <v>24</v>
      </c>
      <c r="D1059" s="3">
        <v>2038680</v>
      </c>
      <c r="E1059" s="3">
        <f t="shared" si="33"/>
        <v>2.0386799999999998</v>
      </c>
      <c r="F1059" s="1">
        <v>3683</v>
      </c>
      <c r="G1059" s="1">
        <v>84945</v>
      </c>
      <c r="H1059" s="1">
        <v>367618</v>
      </c>
      <c r="M1059" t="s">
        <v>1313</v>
      </c>
      <c r="N1059" t="s">
        <v>1594</v>
      </c>
    </row>
    <row r="1060" spans="1:14" x14ac:dyDescent="0.25">
      <c r="A1060" t="s">
        <v>1314</v>
      </c>
      <c r="B1060" t="str">
        <f t="shared" si="32"/>
        <v>p__Bacteroidota</v>
      </c>
      <c r="C1060" s="1">
        <v>18</v>
      </c>
      <c r="D1060" s="3">
        <v>2889720</v>
      </c>
      <c r="E1060" s="3">
        <f t="shared" si="33"/>
        <v>2.8897200000000001</v>
      </c>
      <c r="F1060" s="1">
        <v>21878</v>
      </c>
      <c r="G1060" s="1">
        <v>160540</v>
      </c>
      <c r="H1060" s="1">
        <v>475928</v>
      </c>
      <c r="M1060" t="s">
        <v>1314</v>
      </c>
      <c r="N1060" t="s">
        <v>1594</v>
      </c>
    </row>
    <row r="1061" spans="1:14" x14ac:dyDescent="0.25">
      <c r="A1061" t="s">
        <v>1315</v>
      </c>
      <c r="B1061" t="str">
        <f t="shared" si="32"/>
        <v>p__Bacteroidota</v>
      </c>
      <c r="C1061" s="1">
        <v>45</v>
      </c>
      <c r="D1061" s="3">
        <v>2225495</v>
      </c>
      <c r="E1061" s="3">
        <f t="shared" si="33"/>
        <v>2.225495</v>
      </c>
      <c r="F1061" s="1">
        <v>2189</v>
      </c>
      <c r="G1061" s="2">
        <v>49455.4</v>
      </c>
      <c r="H1061" s="1">
        <v>323548</v>
      </c>
      <c r="M1061" t="s">
        <v>1315</v>
      </c>
      <c r="N1061" t="s">
        <v>1594</v>
      </c>
    </row>
    <row r="1062" spans="1:14" x14ac:dyDescent="0.25">
      <c r="A1062" t="s">
        <v>1316</v>
      </c>
      <c r="B1062" t="str">
        <f t="shared" si="32"/>
        <v>p__Bacteroidota</v>
      </c>
      <c r="C1062" s="1">
        <v>39</v>
      </c>
      <c r="D1062" s="3">
        <v>3631420</v>
      </c>
      <c r="E1062" s="3">
        <f t="shared" si="33"/>
        <v>3.6314199999999999</v>
      </c>
      <c r="F1062" s="1">
        <v>5726</v>
      </c>
      <c r="G1062" s="2">
        <v>93113.3</v>
      </c>
      <c r="H1062" s="1">
        <v>336542</v>
      </c>
      <c r="M1062" t="s">
        <v>1316</v>
      </c>
      <c r="N1062" t="s">
        <v>1594</v>
      </c>
    </row>
    <row r="1063" spans="1:14" x14ac:dyDescent="0.25">
      <c r="A1063" t="s">
        <v>1317</v>
      </c>
      <c r="B1063" t="str">
        <f t="shared" si="32"/>
        <v>p__Bacteroidota</v>
      </c>
      <c r="C1063" s="1">
        <v>19</v>
      </c>
      <c r="D1063" s="3">
        <v>2992085</v>
      </c>
      <c r="E1063" s="3">
        <f t="shared" si="33"/>
        <v>2.9920849999999999</v>
      </c>
      <c r="F1063" s="1">
        <v>9062</v>
      </c>
      <c r="G1063" s="2">
        <v>157478.20000000001</v>
      </c>
      <c r="H1063" s="1">
        <v>460392</v>
      </c>
      <c r="M1063" t="s">
        <v>1317</v>
      </c>
      <c r="N1063" t="s">
        <v>1594</v>
      </c>
    </row>
    <row r="1064" spans="1:14" x14ac:dyDescent="0.25">
      <c r="A1064" t="s">
        <v>1318</v>
      </c>
      <c r="B1064" t="str">
        <f t="shared" si="32"/>
        <v>p__Bacteroidota</v>
      </c>
      <c r="C1064" s="1">
        <v>65</v>
      </c>
      <c r="D1064" s="3">
        <v>3904782</v>
      </c>
      <c r="E1064" s="3">
        <f t="shared" si="33"/>
        <v>3.904782</v>
      </c>
      <c r="F1064" s="1">
        <v>2191</v>
      </c>
      <c r="G1064" s="2">
        <v>60073.599999999999</v>
      </c>
      <c r="H1064" s="1">
        <v>360030</v>
      </c>
      <c r="M1064" t="s">
        <v>1318</v>
      </c>
      <c r="N1064" t="s">
        <v>1594</v>
      </c>
    </row>
    <row r="1065" spans="1:14" x14ac:dyDescent="0.25">
      <c r="A1065" t="s">
        <v>1319</v>
      </c>
      <c r="B1065" t="str">
        <f t="shared" si="32"/>
        <v>p__Bacteroidota</v>
      </c>
      <c r="C1065" s="1">
        <v>9</v>
      </c>
      <c r="D1065" s="3">
        <v>4502910</v>
      </c>
      <c r="E1065" s="3">
        <f t="shared" si="33"/>
        <v>4.50291</v>
      </c>
      <c r="F1065" s="1">
        <v>44250</v>
      </c>
      <c r="G1065" s="2">
        <v>500323.3</v>
      </c>
      <c r="H1065" s="1">
        <v>1697601</v>
      </c>
      <c r="M1065" t="s">
        <v>1319</v>
      </c>
      <c r="N1065" t="s">
        <v>1594</v>
      </c>
    </row>
    <row r="1066" spans="1:14" x14ac:dyDescent="0.25">
      <c r="A1066" t="s">
        <v>1320</v>
      </c>
      <c r="B1066" t="str">
        <f t="shared" si="32"/>
        <v>p__Bacteroidota</v>
      </c>
      <c r="C1066" s="1">
        <v>27</v>
      </c>
      <c r="D1066" s="3">
        <v>3255670</v>
      </c>
      <c r="E1066" s="3">
        <f t="shared" si="33"/>
        <v>3.2556699999999998</v>
      </c>
      <c r="F1066" s="1">
        <v>2411</v>
      </c>
      <c r="G1066" s="2">
        <v>120580.4</v>
      </c>
      <c r="H1066" s="1">
        <v>503606</v>
      </c>
      <c r="M1066" t="s">
        <v>1320</v>
      </c>
      <c r="N1066" t="s">
        <v>1594</v>
      </c>
    </row>
    <row r="1067" spans="1:14" x14ac:dyDescent="0.25">
      <c r="A1067" t="s">
        <v>1321</v>
      </c>
      <c r="B1067" t="str">
        <f t="shared" si="32"/>
        <v>p__Bacteroidota</v>
      </c>
      <c r="C1067" s="1">
        <v>19</v>
      </c>
      <c r="D1067" s="3">
        <v>3582139</v>
      </c>
      <c r="E1067" s="3">
        <f t="shared" si="33"/>
        <v>3.5821390000000002</v>
      </c>
      <c r="F1067" s="1">
        <v>6355</v>
      </c>
      <c r="G1067" s="2">
        <v>188533.6</v>
      </c>
      <c r="H1067" s="1">
        <v>697877</v>
      </c>
      <c r="M1067" t="s">
        <v>1321</v>
      </c>
      <c r="N1067" t="s">
        <v>1594</v>
      </c>
    </row>
    <row r="1068" spans="1:14" x14ac:dyDescent="0.25">
      <c r="A1068" t="s">
        <v>1322</v>
      </c>
      <c r="B1068" t="str">
        <f t="shared" si="32"/>
        <v>p__Bacteroidota</v>
      </c>
      <c r="C1068" s="1">
        <v>47</v>
      </c>
      <c r="D1068" s="3">
        <v>3780518</v>
      </c>
      <c r="E1068" s="3">
        <f t="shared" si="33"/>
        <v>3.7805179999999998</v>
      </c>
      <c r="F1068" s="1">
        <v>2325</v>
      </c>
      <c r="G1068" s="2">
        <v>80436.600000000006</v>
      </c>
      <c r="H1068" s="1">
        <v>499033</v>
      </c>
      <c r="M1068" t="s">
        <v>1322</v>
      </c>
      <c r="N1068" t="s">
        <v>1594</v>
      </c>
    </row>
    <row r="1069" spans="1:14" x14ac:dyDescent="0.25">
      <c r="A1069" t="s">
        <v>1323</v>
      </c>
      <c r="B1069" t="str">
        <f t="shared" si="32"/>
        <v>p__Bacteroidota</v>
      </c>
      <c r="C1069" s="1">
        <v>8</v>
      </c>
      <c r="D1069" s="3">
        <v>4265691</v>
      </c>
      <c r="E1069" s="3">
        <f t="shared" si="33"/>
        <v>4.2656910000000003</v>
      </c>
      <c r="F1069" s="1">
        <v>55058</v>
      </c>
      <c r="G1069" s="2">
        <v>533211.4</v>
      </c>
      <c r="H1069" s="1">
        <v>1509943</v>
      </c>
      <c r="M1069" t="s">
        <v>1323</v>
      </c>
      <c r="N1069" t="s">
        <v>1594</v>
      </c>
    </row>
    <row r="1070" spans="1:14" x14ac:dyDescent="0.25">
      <c r="A1070" t="s">
        <v>1324</v>
      </c>
      <c r="B1070" t="str">
        <f t="shared" si="32"/>
        <v>p__Bacteroidota</v>
      </c>
      <c r="C1070" s="1">
        <v>14</v>
      </c>
      <c r="D1070" s="3">
        <v>4182009</v>
      </c>
      <c r="E1070" s="3">
        <f t="shared" si="33"/>
        <v>4.1820089999999999</v>
      </c>
      <c r="F1070" s="1">
        <v>20005</v>
      </c>
      <c r="G1070" s="2">
        <v>298714.90000000002</v>
      </c>
      <c r="H1070" s="1">
        <v>1590972</v>
      </c>
      <c r="M1070" t="s">
        <v>1324</v>
      </c>
      <c r="N1070" t="s">
        <v>1594</v>
      </c>
    </row>
    <row r="1071" spans="1:14" x14ac:dyDescent="0.25">
      <c r="A1071" t="s">
        <v>1325</v>
      </c>
      <c r="B1071" t="str">
        <f t="shared" si="32"/>
        <v>p__Bacteroidota</v>
      </c>
      <c r="C1071" s="1">
        <v>13</v>
      </c>
      <c r="D1071" s="3">
        <v>3527403</v>
      </c>
      <c r="E1071" s="3">
        <f t="shared" si="33"/>
        <v>3.5274030000000001</v>
      </c>
      <c r="F1071" s="1">
        <v>13948</v>
      </c>
      <c r="G1071" s="2">
        <v>271338.7</v>
      </c>
      <c r="H1071" s="1">
        <v>567653</v>
      </c>
      <c r="M1071" t="s">
        <v>1325</v>
      </c>
      <c r="N1071" t="s">
        <v>1594</v>
      </c>
    </row>
    <row r="1072" spans="1:14" x14ac:dyDescent="0.25">
      <c r="A1072" t="s">
        <v>1326</v>
      </c>
      <c r="B1072" t="str">
        <f t="shared" si="32"/>
        <v>p__Bacteroidota</v>
      </c>
      <c r="C1072" s="1">
        <v>10</v>
      </c>
      <c r="D1072" s="3">
        <v>4086090</v>
      </c>
      <c r="E1072" s="3">
        <f t="shared" si="33"/>
        <v>4.0860900000000004</v>
      </c>
      <c r="F1072" s="1">
        <v>3496</v>
      </c>
      <c r="G1072" s="1">
        <v>408609</v>
      </c>
      <c r="H1072" s="1">
        <v>1507695</v>
      </c>
      <c r="M1072" t="s">
        <v>1326</v>
      </c>
      <c r="N1072" t="s">
        <v>1594</v>
      </c>
    </row>
    <row r="1073" spans="1:14" x14ac:dyDescent="0.25">
      <c r="A1073" t="s">
        <v>1327</v>
      </c>
      <c r="B1073" t="str">
        <f t="shared" si="32"/>
        <v>p__Bacteroidota</v>
      </c>
      <c r="C1073" s="1">
        <v>6</v>
      </c>
      <c r="D1073" s="3">
        <v>3084558</v>
      </c>
      <c r="E1073" s="3">
        <f t="shared" si="33"/>
        <v>3.0845579999999999</v>
      </c>
      <c r="F1073" s="1">
        <v>28651</v>
      </c>
      <c r="G1073" s="1">
        <v>514093</v>
      </c>
      <c r="H1073" s="1">
        <v>1273312</v>
      </c>
      <c r="M1073" t="s">
        <v>1327</v>
      </c>
      <c r="N1073" t="s">
        <v>1594</v>
      </c>
    </row>
    <row r="1074" spans="1:14" x14ac:dyDescent="0.25">
      <c r="A1074" t="s">
        <v>1328</v>
      </c>
      <c r="B1074" t="str">
        <f t="shared" si="32"/>
        <v>p__Bacteroidota</v>
      </c>
      <c r="C1074" s="1">
        <v>4</v>
      </c>
      <c r="D1074" s="3">
        <v>4447833</v>
      </c>
      <c r="E1074" s="3">
        <f t="shared" si="33"/>
        <v>4.4478330000000001</v>
      </c>
      <c r="F1074" s="1">
        <v>2039</v>
      </c>
      <c r="G1074" s="2">
        <v>1111958.3</v>
      </c>
      <c r="H1074" s="1">
        <v>2739480</v>
      </c>
      <c r="M1074" t="s">
        <v>1328</v>
      </c>
      <c r="N1074" t="s">
        <v>1594</v>
      </c>
    </row>
    <row r="1075" spans="1:14" x14ac:dyDescent="0.25">
      <c r="A1075" t="s">
        <v>1329</v>
      </c>
      <c r="B1075" t="str">
        <f t="shared" si="32"/>
        <v>p__Bacteroidota</v>
      </c>
      <c r="C1075" s="1">
        <v>37</v>
      </c>
      <c r="D1075" s="3">
        <v>2911730</v>
      </c>
      <c r="E1075" s="3">
        <f t="shared" si="33"/>
        <v>2.9117299999999999</v>
      </c>
      <c r="F1075" s="1">
        <v>4289</v>
      </c>
      <c r="G1075" s="2">
        <v>78695.399999999994</v>
      </c>
      <c r="H1075" s="1">
        <v>412305</v>
      </c>
      <c r="M1075" t="s">
        <v>1329</v>
      </c>
      <c r="N1075" t="s">
        <v>1594</v>
      </c>
    </row>
    <row r="1076" spans="1:14" x14ac:dyDescent="0.25">
      <c r="A1076" t="s">
        <v>1330</v>
      </c>
      <c r="B1076" t="str">
        <f t="shared" si="32"/>
        <v>p__Bacteroidota</v>
      </c>
      <c r="C1076" s="1">
        <v>43</v>
      </c>
      <c r="D1076" s="3">
        <v>3568188</v>
      </c>
      <c r="E1076" s="3">
        <f t="shared" si="33"/>
        <v>3.5681880000000001</v>
      </c>
      <c r="F1076" s="1">
        <v>3349</v>
      </c>
      <c r="G1076" s="2">
        <v>82981.100000000006</v>
      </c>
      <c r="H1076" s="1">
        <v>437405</v>
      </c>
      <c r="M1076" t="s">
        <v>1330</v>
      </c>
      <c r="N1076" t="s">
        <v>1594</v>
      </c>
    </row>
    <row r="1077" spans="1:14" x14ac:dyDescent="0.25">
      <c r="A1077" t="s">
        <v>1331</v>
      </c>
      <c r="B1077" t="str">
        <f t="shared" si="32"/>
        <v>p__Bacteroidota</v>
      </c>
      <c r="C1077" s="1">
        <v>2</v>
      </c>
      <c r="D1077" s="3">
        <v>3989593</v>
      </c>
      <c r="E1077" s="3">
        <f t="shared" si="33"/>
        <v>3.9895930000000002</v>
      </c>
      <c r="F1077" s="1">
        <v>161506</v>
      </c>
      <c r="G1077" s="2">
        <v>1994796.5</v>
      </c>
      <c r="H1077" s="1">
        <v>3828087</v>
      </c>
      <c r="M1077" t="s">
        <v>1331</v>
      </c>
      <c r="N1077" t="s">
        <v>1594</v>
      </c>
    </row>
    <row r="1078" spans="1:14" x14ac:dyDescent="0.25">
      <c r="A1078" t="s">
        <v>1332</v>
      </c>
      <c r="B1078" t="str">
        <f t="shared" si="32"/>
        <v>p__Bacteroidota</v>
      </c>
      <c r="C1078" s="1">
        <v>42</v>
      </c>
      <c r="D1078" s="3">
        <v>4737443</v>
      </c>
      <c r="E1078" s="3">
        <f t="shared" si="33"/>
        <v>4.7374429999999998</v>
      </c>
      <c r="F1078" s="1">
        <v>2348</v>
      </c>
      <c r="G1078" s="2">
        <v>112796.3</v>
      </c>
      <c r="H1078" s="1">
        <v>885499</v>
      </c>
      <c r="M1078" t="s">
        <v>1332</v>
      </c>
      <c r="N1078" t="s">
        <v>1594</v>
      </c>
    </row>
    <row r="1079" spans="1:14" x14ac:dyDescent="0.25">
      <c r="A1079" t="s">
        <v>1333</v>
      </c>
      <c r="B1079" t="str">
        <f t="shared" si="32"/>
        <v>p__Bacteroidota</v>
      </c>
      <c r="C1079" s="1">
        <v>26</v>
      </c>
      <c r="D1079" s="3">
        <v>2437998</v>
      </c>
      <c r="E1079" s="3">
        <f t="shared" si="33"/>
        <v>2.4379979999999999</v>
      </c>
      <c r="F1079" s="1">
        <v>2457</v>
      </c>
      <c r="G1079" s="2">
        <v>93769.2</v>
      </c>
      <c r="H1079" s="1">
        <v>373861</v>
      </c>
      <c r="M1079" t="s">
        <v>1333</v>
      </c>
      <c r="N1079" t="s">
        <v>1594</v>
      </c>
    </row>
    <row r="1080" spans="1:14" x14ac:dyDescent="0.25">
      <c r="A1080" t="s">
        <v>1334</v>
      </c>
      <c r="B1080" t="str">
        <f t="shared" si="32"/>
        <v>p__Bacteroidota</v>
      </c>
      <c r="C1080" s="1">
        <v>40</v>
      </c>
      <c r="D1080" s="3">
        <v>2806199</v>
      </c>
      <c r="E1080" s="3">
        <f t="shared" si="33"/>
        <v>2.8061989999999999</v>
      </c>
      <c r="F1080" s="1">
        <v>4841</v>
      </c>
      <c r="G1080" s="1">
        <v>70155</v>
      </c>
      <c r="H1080" s="1">
        <v>322469</v>
      </c>
      <c r="M1080" t="s">
        <v>1334</v>
      </c>
      <c r="N1080" t="s">
        <v>1594</v>
      </c>
    </row>
    <row r="1081" spans="1:14" x14ac:dyDescent="0.25">
      <c r="A1081" t="s">
        <v>1335</v>
      </c>
      <c r="B1081" t="str">
        <f t="shared" si="32"/>
        <v>p__Bacteroidota</v>
      </c>
      <c r="C1081" s="1">
        <v>119</v>
      </c>
      <c r="D1081" s="3">
        <v>2139944</v>
      </c>
      <c r="E1081" s="3">
        <f t="shared" si="33"/>
        <v>2.1399439999999998</v>
      </c>
      <c r="F1081" s="2">
        <v>2061</v>
      </c>
      <c r="G1081" s="1">
        <v>17982.7</v>
      </c>
      <c r="H1081" s="1">
        <v>205860</v>
      </c>
      <c r="M1081" t="s">
        <v>1335</v>
      </c>
      <c r="N1081" t="s">
        <v>1594</v>
      </c>
    </row>
    <row r="1082" spans="1:14" x14ac:dyDescent="0.25">
      <c r="A1082" t="s">
        <v>1336</v>
      </c>
      <c r="B1082" t="str">
        <f t="shared" si="32"/>
        <v>p__Bacteroidota</v>
      </c>
      <c r="C1082" s="1">
        <v>5</v>
      </c>
      <c r="D1082" s="3">
        <v>3652189</v>
      </c>
      <c r="E1082" s="3">
        <f t="shared" si="33"/>
        <v>3.6521889999999999</v>
      </c>
      <c r="F1082" s="1">
        <v>11750</v>
      </c>
      <c r="G1082" s="2">
        <v>730437.8</v>
      </c>
      <c r="H1082" s="1">
        <v>1621421</v>
      </c>
      <c r="M1082" t="s">
        <v>1336</v>
      </c>
      <c r="N1082" t="s">
        <v>1594</v>
      </c>
    </row>
    <row r="1083" spans="1:14" x14ac:dyDescent="0.25">
      <c r="A1083" t="s">
        <v>1337</v>
      </c>
      <c r="B1083" t="str">
        <f t="shared" si="32"/>
        <v>p__Bacteroidota</v>
      </c>
      <c r="C1083" s="1">
        <v>19</v>
      </c>
      <c r="D1083" s="3">
        <v>2427008</v>
      </c>
      <c r="E1083" s="3">
        <f t="shared" si="33"/>
        <v>2.4270079999999998</v>
      </c>
      <c r="F1083" s="1">
        <v>10944</v>
      </c>
      <c r="G1083" s="2">
        <v>127737.3</v>
      </c>
      <c r="H1083" s="1">
        <v>477488</v>
      </c>
      <c r="M1083" t="s">
        <v>1337</v>
      </c>
      <c r="N1083" t="s">
        <v>1594</v>
      </c>
    </row>
    <row r="1084" spans="1:14" x14ac:dyDescent="0.25">
      <c r="A1084" t="s">
        <v>1338</v>
      </c>
      <c r="B1084" t="str">
        <f t="shared" si="32"/>
        <v>p__Bacteroidota</v>
      </c>
      <c r="C1084" s="1">
        <v>3</v>
      </c>
      <c r="D1084" s="3">
        <v>4144613</v>
      </c>
      <c r="E1084" s="3">
        <f t="shared" si="33"/>
        <v>4.1446129999999997</v>
      </c>
      <c r="F1084" s="1">
        <v>17931</v>
      </c>
      <c r="G1084" s="2">
        <v>1381537.7</v>
      </c>
      <c r="H1084" s="1">
        <v>4104942</v>
      </c>
      <c r="M1084" t="s">
        <v>1338</v>
      </c>
      <c r="N1084" t="s">
        <v>1594</v>
      </c>
    </row>
    <row r="1085" spans="1:14" x14ac:dyDescent="0.25">
      <c r="A1085" t="s">
        <v>1339</v>
      </c>
      <c r="B1085" t="str">
        <f t="shared" si="32"/>
        <v>p__Bacteroidota</v>
      </c>
      <c r="C1085" s="1">
        <v>7</v>
      </c>
      <c r="D1085" s="3">
        <v>2829613</v>
      </c>
      <c r="E1085" s="3">
        <f t="shared" si="33"/>
        <v>2.8296130000000002</v>
      </c>
      <c r="F1085" s="1">
        <v>35588</v>
      </c>
      <c r="G1085" s="2">
        <v>404230.40000000002</v>
      </c>
      <c r="H1085" s="1">
        <v>930007</v>
      </c>
      <c r="M1085" t="s">
        <v>1339</v>
      </c>
      <c r="N1085" t="s">
        <v>1594</v>
      </c>
    </row>
    <row r="1086" spans="1:14" x14ac:dyDescent="0.25">
      <c r="A1086" t="s">
        <v>1340</v>
      </c>
      <c r="B1086" t="str">
        <f t="shared" si="32"/>
        <v>p__Bacteroidota</v>
      </c>
      <c r="C1086" s="1">
        <v>21</v>
      </c>
      <c r="D1086" s="3">
        <v>3028470</v>
      </c>
      <c r="E1086" s="3">
        <f t="shared" si="33"/>
        <v>3.02847</v>
      </c>
      <c r="F1086" s="1">
        <v>10988</v>
      </c>
      <c r="G1086" s="2">
        <v>144212.9</v>
      </c>
      <c r="H1086" s="1">
        <v>643553</v>
      </c>
      <c r="M1086" t="s">
        <v>1340</v>
      </c>
      <c r="N1086" t="s">
        <v>1594</v>
      </c>
    </row>
    <row r="1087" spans="1:14" x14ac:dyDescent="0.25">
      <c r="A1087" t="s">
        <v>1341</v>
      </c>
      <c r="B1087" t="str">
        <f t="shared" si="32"/>
        <v>p__Bacteroidota</v>
      </c>
      <c r="C1087" s="1">
        <v>284</v>
      </c>
      <c r="D1087" s="3">
        <v>2018114</v>
      </c>
      <c r="E1087" s="3">
        <f t="shared" si="33"/>
        <v>2.0181140000000002</v>
      </c>
      <c r="F1087" s="1">
        <v>2005</v>
      </c>
      <c r="G1087" s="1">
        <v>7106</v>
      </c>
      <c r="H1087" s="1">
        <v>86521</v>
      </c>
      <c r="M1087" t="s">
        <v>1341</v>
      </c>
      <c r="N1087" t="s">
        <v>1594</v>
      </c>
    </row>
    <row r="1088" spans="1:14" x14ac:dyDescent="0.25">
      <c r="A1088" t="s">
        <v>1342</v>
      </c>
      <c r="B1088" t="str">
        <f t="shared" si="32"/>
        <v>p__Bacteroidota</v>
      </c>
      <c r="C1088" s="1">
        <v>25</v>
      </c>
      <c r="D1088" s="3">
        <v>2173036</v>
      </c>
      <c r="E1088" s="3">
        <f t="shared" si="33"/>
        <v>2.1730360000000002</v>
      </c>
      <c r="F1088" s="1">
        <v>5568</v>
      </c>
      <c r="G1088" s="2">
        <v>86921.4</v>
      </c>
      <c r="H1088" s="1">
        <v>278161</v>
      </c>
      <c r="M1088" t="s">
        <v>1342</v>
      </c>
      <c r="N1088" t="s">
        <v>1594</v>
      </c>
    </row>
    <row r="1089" spans="1:14" x14ac:dyDescent="0.25">
      <c r="A1089" t="s">
        <v>1343</v>
      </c>
      <c r="B1089" t="str">
        <f t="shared" si="32"/>
        <v>p__Bacteroidota</v>
      </c>
      <c r="C1089" s="1">
        <v>2</v>
      </c>
      <c r="D1089" s="3">
        <v>3193599</v>
      </c>
      <c r="E1089" s="3">
        <f t="shared" si="33"/>
        <v>3.1935989999999999</v>
      </c>
      <c r="F1089" s="1">
        <v>5239</v>
      </c>
      <c r="G1089" s="2">
        <v>1596799.5</v>
      </c>
      <c r="H1089" s="1">
        <v>3188360</v>
      </c>
      <c r="M1089" t="s">
        <v>1343</v>
      </c>
      <c r="N1089" t="s">
        <v>1594</v>
      </c>
    </row>
    <row r="1090" spans="1:14" x14ac:dyDescent="0.25">
      <c r="A1090" t="s">
        <v>1344</v>
      </c>
      <c r="B1090" t="str">
        <f t="shared" ref="B1090:B1153" si="34">VLOOKUP(A1090,M:N,2,FALSE)</f>
        <v>p__Bacteroidota</v>
      </c>
      <c r="C1090" s="1">
        <v>1</v>
      </c>
      <c r="D1090" s="3">
        <v>3023047</v>
      </c>
      <c r="E1090" s="3">
        <f t="shared" ref="E1090:E1153" si="35">D1090/1000000</f>
        <v>3.023047</v>
      </c>
      <c r="F1090" s="1">
        <v>3023047</v>
      </c>
      <c r="G1090" s="1">
        <v>3023047</v>
      </c>
      <c r="H1090" s="1">
        <v>3023047</v>
      </c>
      <c r="M1090" t="s">
        <v>1344</v>
      </c>
      <c r="N1090" t="s">
        <v>1594</v>
      </c>
    </row>
    <row r="1091" spans="1:14" x14ac:dyDescent="0.25">
      <c r="A1091" t="s">
        <v>1345</v>
      </c>
      <c r="B1091" t="str">
        <f t="shared" si="34"/>
        <v>p__Bacteroidota</v>
      </c>
      <c r="C1091" s="1">
        <v>21</v>
      </c>
      <c r="D1091" s="3">
        <v>2656658</v>
      </c>
      <c r="E1091" s="3">
        <f t="shared" si="35"/>
        <v>2.6566580000000002</v>
      </c>
      <c r="F1091" s="1">
        <v>5467</v>
      </c>
      <c r="G1091" s="2">
        <v>126507.5</v>
      </c>
      <c r="H1091" s="1">
        <v>663022</v>
      </c>
      <c r="M1091" t="s">
        <v>1345</v>
      </c>
      <c r="N1091" t="s">
        <v>1594</v>
      </c>
    </row>
    <row r="1092" spans="1:14" x14ac:dyDescent="0.25">
      <c r="A1092" t="s">
        <v>1346</v>
      </c>
      <c r="B1092" t="str">
        <f t="shared" si="34"/>
        <v>p__Bacteroidota</v>
      </c>
      <c r="C1092" s="1">
        <v>24</v>
      </c>
      <c r="D1092" s="3">
        <v>3011638</v>
      </c>
      <c r="E1092" s="3">
        <f t="shared" si="35"/>
        <v>3.011638</v>
      </c>
      <c r="F1092" s="1">
        <v>5930</v>
      </c>
      <c r="G1092" s="2">
        <v>125484.9</v>
      </c>
      <c r="H1092" s="1">
        <v>778689</v>
      </c>
      <c r="M1092" t="s">
        <v>1346</v>
      </c>
      <c r="N1092" t="s">
        <v>1594</v>
      </c>
    </row>
    <row r="1093" spans="1:14" x14ac:dyDescent="0.25">
      <c r="A1093" t="s">
        <v>1347</v>
      </c>
      <c r="B1093" t="str">
        <f t="shared" si="34"/>
        <v>p__Bacteroidota</v>
      </c>
      <c r="C1093" s="1">
        <v>40</v>
      </c>
      <c r="D1093" s="3">
        <v>4152043</v>
      </c>
      <c r="E1093" s="3">
        <f t="shared" si="35"/>
        <v>4.1520429999999999</v>
      </c>
      <c r="F1093" s="1">
        <v>2644</v>
      </c>
      <c r="G1093" s="2">
        <v>103801.1</v>
      </c>
      <c r="H1093" s="1">
        <v>484223</v>
      </c>
      <c r="M1093" t="s">
        <v>1347</v>
      </c>
      <c r="N1093" t="s">
        <v>1594</v>
      </c>
    </row>
    <row r="1094" spans="1:14" x14ac:dyDescent="0.25">
      <c r="A1094" t="s">
        <v>1348</v>
      </c>
      <c r="B1094" t="str">
        <f t="shared" si="34"/>
        <v>p__Bacteroidota</v>
      </c>
      <c r="C1094" s="1">
        <v>18</v>
      </c>
      <c r="D1094" s="3">
        <v>3271915</v>
      </c>
      <c r="E1094" s="3">
        <f t="shared" si="35"/>
        <v>3.2719149999999999</v>
      </c>
      <c r="F1094" s="1">
        <v>9498</v>
      </c>
      <c r="G1094" s="2">
        <v>181773.1</v>
      </c>
      <c r="H1094" s="1">
        <v>722024</v>
      </c>
      <c r="M1094" t="s">
        <v>1348</v>
      </c>
      <c r="N1094" t="s">
        <v>1594</v>
      </c>
    </row>
    <row r="1095" spans="1:14" x14ac:dyDescent="0.25">
      <c r="A1095" t="s">
        <v>1349</v>
      </c>
      <c r="B1095" t="str">
        <f t="shared" si="34"/>
        <v>p__Bacteroidota</v>
      </c>
      <c r="C1095" s="1">
        <v>28</v>
      </c>
      <c r="D1095" s="3">
        <v>1663908</v>
      </c>
      <c r="E1095" s="3">
        <f t="shared" si="35"/>
        <v>1.6639079999999999</v>
      </c>
      <c r="F1095" s="1">
        <v>4654</v>
      </c>
      <c r="G1095" s="2">
        <v>59425.3</v>
      </c>
      <c r="H1095" s="1">
        <v>225225</v>
      </c>
      <c r="M1095" t="s">
        <v>1349</v>
      </c>
      <c r="N1095" t="s">
        <v>1594</v>
      </c>
    </row>
    <row r="1096" spans="1:14" x14ac:dyDescent="0.25">
      <c r="A1096" t="s">
        <v>1350</v>
      </c>
      <c r="B1096" t="str">
        <f t="shared" si="34"/>
        <v>p__Bacteroidota</v>
      </c>
      <c r="C1096" s="1">
        <v>91</v>
      </c>
      <c r="D1096" s="3">
        <v>2869157</v>
      </c>
      <c r="E1096" s="3">
        <f t="shared" si="35"/>
        <v>2.869157</v>
      </c>
      <c r="F1096" s="1">
        <v>2034</v>
      </c>
      <c r="G1096" s="2">
        <v>31529.200000000001</v>
      </c>
      <c r="H1096" s="1">
        <v>392516</v>
      </c>
      <c r="M1096" t="s">
        <v>1350</v>
      </c>
      <c r="N1096" t="s">
        <v>1594</v>
      </c>
    </row>
    <row r="1097" spans="1:14" x14ac:dyDescent="0.25">
      <c r="A1097" t="s">
        <v>1351</v>
      </c>
      <c r="B1097" t="str">
        <f t="shared" si="34"/>
        <v>p__Bacteroidota</v>
      </c>
      <c r="C1097" s="1">
        <v>70</v>
      </c>
      <c r="D1097" s="3">
        <v>2789240</v>
      </c>
      <c r="E1097" s="3">
        <f t="shared" si="35"/>
        <v>2.7892399999999999</v>
      </c>
      <c r="F1097" s="1">
        <v>2012</v>
      </c>
      <c r="G1097" s="2">
        <v>39846.300000000003</v>
      </c>
      <c r="H1097" s="1">
        <v>271371</v>
      </c>
      <c r="M1097" t="s">
        <v>1351</v>
      </c>
      <c r="N1097" t="s">
        <v>1594</v>
      </c>
    </row>
    <row r="1098" spans="1:14" x14ac:dyDescent="0.25">
      <c r="A1098" t="s">
        <v>1352</v>
      </c>
      <c r="B1098" t="str">
        <f t="shared" si="34"/>
        <v>p__Bacteroidota</v>
      </c>
      <c r="C1098" s="1">
        <v>76</v>
      </c>
      <c r="D1098" s="3">
        <v>2882006</v>
      </c>
      <c r="E1098" s="3">
        <f t="shared" si="35"/>
        <v>2.8820060000000001</v>
      </c>
      <c r="F1098" s="1">
        <v>2017</v>
      </c>
      <c r="G1098" s="2">
        <v>37921.1</v>
      </c>
      <c r="H1098" s="1">
        <v>271058</v>
      </c>
      <c r="M1098" t="s">
        <v>1352</v>
      </c>
      <c r="N1098" t="s">
        <v>1594</v>
      </c>
    </row>
    <row r="1099" spans="1:14" x14ac:dyDescent="0.25">
      <c r="A1099" t="s">
        <v>1353</v>
      </c>
      <c r="B1099" t="str">
        <f t="shared" si="34"/>
        <v>p__Bacteroidota</v>
      </c>
      <c r="C1099" s="1">
        <v>44</v>
      </c>
      <c r="D1099" s="3">
        <v>3217463</v>
      </c>
      <c r="E1099" s="3">
        <f t="shared" si="35"/>
        <v>3.217463</v>
      </c>
      <c r="F1099" s="1">
        <v>2021</v>
      </c>
      <c r="G1099" s="2">
        <v>73124.2</v>
      </c>
      <c r="H1099" s="1">
        <v>556262</v>
      </c>
      <c r="M1099" t="s">
        <v>1353</v>
      </c>
      <c r="N1099" t="s">
        <v>1594</v>
      </c>
    </row>
    <row r="1100" spans="1:14" x14ac:dyDescent="0.25">
      <c r="A1100" t="s">
        <v>1354</v>
      </c>
      <c r="B1100" t="str">
        <f t="shared" si="34"/>
        <v>p__Bacteroidota</v>
      </c>
      <c r="C1100" s="1">
        <v>3</v>
      </c>
      <c r="D1100" s="3">
        <v>3138068</v>
      </c>
      <c r="E1100" s="3">
        <f t="shared" si="35"/>
        <v>3.1380680000000001</v>
      </c>
      <c r="F1100" s="1">
        <v>243296</v>
      </c>
      <c r="G1100" s="2">
        <v>1046022.7</v>
      </c>
      <c r="H1100" s="1">
        <v>2589918</v>
      </c>
      <c r="M1100" t="s">
        <v>1354</v>
      </c>
      <c r="N1100" t="s">
        <v>1594</v>
      </c>
    </row>
    <row r="1101" spans="1:14" x14ac:dyDescent="0.25">
      <c r="A1101" t="s">
        <v>1355</v>
      </c>
      <c r="B1101" t="str">
        <f t="shared" si="34"/>
        <v>p__Bacteroidota</v>
      </c>
      <c r="C1101" s="1">
        <v>44</v>
      </c>
      <c r="D1101" s="3">
        <v>4093356</v>
      </c>
      <c r="E1101" s="3">
        <f t="shared" si="35"/>
        <v>4.093356</v>
      </c>
      <c r="F1101" s="1">
        <v>2745</v>
      </c>
      <c r="G1101" s="2">
        <v>93030.8</v>
      </c>
      <c r="H1101" s="1">
        <v>361069</v>
      </c>
      <c r="M1101" t="s">
        <v>1355</v>
      </c>
      <c r="N1101" t="s">
        <v>1594</v>
      </c>
    </row>
    <row r="1102" spans="1:14" x14ac:dyDescent="0.25">
      <c r="A1102" t="s">
        <v>1356</v>
      </c>
      <c r="B1102" t="str">
        <f t="shared" si="34"/>
        <v>p__Bacteroidota</v>
      </c>
      <c r="C1102" s="1">
        <v>2</v>
      </c>
      <c r="D1102" s="3">
        <v>4146736</v>
      </c>
      <c r="E1102" s="3">
        <f t="shared" si="35"/>
        <v>4.1467359999999998</v>
      </c>
      <c r="F1102" s="1">
        <v>1814879</v>
      </c>
      <c r="G1102" s="1">
        <v>2073368</v>
      </c>
      <c r="H1102" s="1">
        <v>2331857</v>
      </c>
      <c r="M1102" t="s">
        <v>1356</v>
      </c>
      <c r="N1102" t="s">
        <v>1594</v>
      </c>
    </row>
    <row r="1103" spans="1:14" x14ac:dyDescent="0.25">
      <c r="A1103" t="s">
        <v>1357</v>
      </c>
      <c r="B1103" t="str">
        <f t="shared" si="34"/>
        <v>p__Bacteroidota</v>
      </c>
      <c r="C1103" s="1">
        <v>3</v>
      </c>
      <c r="D1103" s="3">
        <v>2693489</v>
      </c>
      <c r="E1103" s="3">
        <f t="shared" si="35"/>
        <v>2.693489</v>
      </c>
      <c r="F1103" s="1">
        <v>7277</v>
      </c>
      <c r="G1103" s="2">
        <v>897829.7</v>
      </c>
      <c r="H1103" s="1">
        <v>2669672</v>
      </c>
      <c r="M1103" t="s">
        <v>1357</v>
      </c>
      <c r="N1103" t="s">
        <v>1594</v>
      </c>
    </row>
    <row r="1104" spans="1:14" x14ac:dyDescent="0.25">
      <c r="A1104" t="s">
        <v>1358</v>
      </c>
      <c r="B1104" t="str">
        <f t="shared" si="34"/>
        <v>p__Bacteroidota</v>
      </c>
      <c r="C1104" s="1">
        <v>14</v>
      </c>
      <c r="D1104" s="3">
        <v>2675753</v>
      </c>
      <c r="E1104" s="3">
        <f t="shared" si="35"/>
        <v>2.6757529999999998</v>
      </c>
      <c r="F1104" s="1">
        <v>6964</v>
      </c>
      <c r="G1104" s="2">
        <v>191125.2</v>
      </c>
      <c r="H1104" s="1">
        <v>1006128</v>
      </c>
      <c r="M1104" t="s">
        <v>1358</v>
      </c>
      <c r="N1104" t="s">
        <v>1594</v>
      </c>
    </row>
    <row r="1105" spans="1:14" x14ac:dyDescent="0.25">
      <c r="A1105" t="s">
        <v>1359</v>
      </c>
      <c r="B1105" t="str">
        <f t="shared" si="34"/>
        <v>p__Bacteroidota</v>
      </c>
      <c r="C1105" s="1">
        <v>7</v>
      </c>
      <c r="D1105" s="3">
        <v>4247329</v>
      </c>
      <c r="E1105" s="3">
        <f t="shared" si="35"/>
        <v>4.2473289999999997</v>
      </c>
      <c r="F1105" s="1">
        <v>6751</v>
      </c>
      <c r="G1105" s="2">
        <v>606761.30000000005</v>
      </c>
      <c r="H1105" s="1">
        <v>1479816</v>
      </c>
      <c r="M1105" t="s">
        <v>1359</v>
      </c>
      <c r="N1105" t="s">
        <v>1594</v>
      </c>
    </row>
    <row r="1106" spans="1:14" x14ac:dyDescent="0.25">
      <c r="A1106" t="s">
        <v>1360</v>
      </c>
      <c r="B1106" t="str">
        <f t="shared" si="34"/>
        <v>p__Bacteroidota</v>
      </c>
      <c r="C1106" s="1">
        <v>56</v>
      </c>
      <c r="D1106" s="3">
        <v>3935654</v>
      </c>
      <c r="E1106" s="3">
        <f t="shared" si="35"/>
        <v>3.935654</v>
      </c>
      <c r="F1106" s="1">
        <v>2920</v>
      </c>
      <c r="G1106" s="2">
        <v>70279.5</v>
      </c>
      <c r="H1106" s="1">
        <v>506278</v>
      </c>
      <c r="M1106" t="s">
        <v>1360</v>
      </c>
      <c r="N1106" t="s">
        <v>1594</v>
      </c>
    </row>
    <row r="1107" spans="1:14" x14ac:dyDescent="0.25">
      <c r="A1107" t="s">
        <v>1361</v>
      </c>
      <c r="B1107" t="str">
        <f t="shared" si="34"/>
        <v>p__Bacteroidota</v>
      </c>
      <c r="C1107" s="1">
        <v>39</v>
      </c>
      <c r="D1107" s="3">
        <v>1500548</v>
      </c>
      <c r="E1107" s="3">
        <f t="shared" si="35"/>
        <v>1.500548</v>
      </c>
      <c r="F1107" s="1">
        <v>2069</v>
      </c>
      <c r="G1107" s="2">
        <v>38475.599999999999</v>
      </c>
      <c r="H1107" s="1">
        <v>167778</v>
      </c>
      <c r="M1107" t="s">
        <v>1361</v>
      </c>
      <c r="N1107" t="s">
        <v>1594</v>
      </c>
    </row>
    <row r="1108" spans="1:14" x14ac:dyDescent="0.25">
      <c r="A1108" t="s">
        <v>1362</v>
      </c>
      <c r="B1108" t="str">
        <f t="shared" si="34"/>
        <v>p__Bacteroidota</v>
      </c>
      <c r="C1108" s="1">
        <v>2</v>
      </c>
      <c r="D1108" s="3">
        <v>2580152</v>
      </c>
      <c r="E1108" s="3">
        <f t="shared" si="35"/>
        <v>2.580152</v>
      </c>
      <c r="F1108" s="1">
        <v>490666</v>
      </c>
      <c r="G1108" s="1">
        <v>1290076</v>
      </c>
      <c r="H1108" s="1">
        <v>2089486</v>
      </c>
      <c r="M1108" t="s">
        <v>1362</v>
      </c>
      <c r="N1108" t="s">
        <v>1594</v>
      </c>
    </row>
    <row r="1109" spans="1:14" x14ac:dyDescent="0.25">
      <c r="A1109" t="s">
        <v>1363</v>
      </c>
      <c r="B1109" t="str">
        <f t="shared" si="34"/>
        <v>p__Bacteroidota</v>
      </c>
      <c r="C1109" s="1">
        <v>34</v>
      </c>
      <c r="D1109" s="3">
        <v>1736999</v>
      </c>
      <c r="E1109" s="3">
        <f t="shared" si="35"/>
        <v>1.736999</v>
      </c>
      <c r="F1109" s="1">
        <v>2159</v>
      </c>
      <c r="G1109" s="2">
        <v>51088.2</v>
      </c>
      <c r="H1109" s="1">
        <v>324647</v>
      </c>
      <c r="M1109" t="s">
        <v>1363</v>
      </c>
      <c r="N1109" t="s">
        <v>1594</v>
      </c>
    </row>
    <row r="1110" spans="1:14" x14ac:dyDescent="0.25">
      <c r="A1110" t="s">
        <v>1364</v>
      </c>
      <c r="B1110" t="str">
        <f t="shared" si="34"/>
        <v>p__Bacteroidota</v>
      </c>
      <c r="C1110" s="1">
        <v>12</v>
      </c>
      <c r="D1110" s="3">
        <v>2102280</v>
      </c>
      <c r="E1110" s="3">
        <f t="shared" si="35"/>
        <v>2.1022799999999999</v>
      </c>
      <c r="F1110" s="1">
        <v>12196</v>
      </c>
      <c r="G1110" s="1">
        <v>175190</v>
      </c>
      <c r="H1110" s="1">
        <v>641874</v>
      </c>
      <c r="M1110" t="s">
        <v>1364</v>
      </c>
      <c r="N1110" t="s">
        <v>1594</v>
      </c>
    </row>
    <row r="1111" spans="1:14" x14ac:dyDescent="0.25">
      <c r="A1111" t="s">
        <v>1365</v>
      </c>
      <c r="B1111" t="str">
        <f t="shared" si="34"/>
        <v>p__Bacteroidota</v>
      </c>
      <c r="C1111" s="1">
        <v>2</v>
      </c>
      <c r="D1111" s="3">
        <v>2423677</v>
      </c>
      <c r="E1111" s="3">
        <f t="shared" si="35"/>
        <v>2.4236770000000001</v>
      </c>
      <c r="F1111" s="1">
        <v>780404</v>
      </c>
      <c r="G1111" s="2">
        <v>1211838.5</v>
      </c>
      <c r="H1111" s="1">
        <v>1643273</v>
      </c>
      <c r="M1111" t="s">
        <v>1365</v>
      </c>
      <c r="N1111" t="s">
        <v>1594</v>
      </c>
    </row>
    <row r="1112" spans="1:14" x14ac:dyDescent="0.25">
      <c r="A1112" t="s">
        <v>1366</v>
      </c>
      <c r="B1112" t="str">
        <f t="shared" si="34"/>
        <v>p__Bacteroidota</v>
      </c>
      <c r="C1112" s="1">
        <v>58</v>
      </c>
      <c r="D1112" s="3">
        <v>2549275</v>
      </c>
      <c r="E1112" s="3">
        <f t="shared" si="35"/>
        <v>2.5492750000000002</v>
      </c>
      <c r="F1112" s="1">
        <v>2403</v>
      </c>
      <c r="G1112" s="1">
        <v>43953</v>
      </c>
      <c r="H1112" s="1">
        <v>224886</v>
      </c>
      <c r="M1112" t="s">
        <v>1366</v>
      </c>
      <c r="N1112" t="s">
        <v>1594</v>
      </c>
    </row>
    <row r="1113" spans="1:14" x14ac:dyDescent="0.25">
      <c r="A1113" t="s">
        <v>1367</v>
      </c>
      <c r="B1113" t="str">
        <f t="shared" si="34"/>
        <v>p__Bacteroidota</v>
      </c>
      <c r="C1113" s="1">
        <v>32</v>
      </c>
      <c r="D1113" s="3">
        <v>1898232</v>
      </c>
      <c r="E1113" s="3">
        <f t="shared" si="35"/>
        <v>1.8982319999999999</v>
      </c>
      <c r="F1113" s="1">
        <v>4749</v>
      </c>
      <c r="G1113" s="2">
        <v>59319.8</v>
      </c>
      <c r="H1113" s="1">
        <v>243475</v>
      </c>
      <c r="M1113" t="s">
        <v>1367</v>
      </c>
      <c r="N1113" t="s">
        <v>1594</v>
      </c>
    </row>
    <row r="1114" spans="1:14" x14ac:dyDescent="0.25">
      <c r="A1114" t="s">
        <v>1368</v>
      </c>
      <c r="B1114" t="str">
        <f t="shared" si="34"/>
        <v>p__Bacteroidota</v>
      </c>
      <c r="C1114" s="1">
        <v>22</v>
      </c>
      <c r="D1114" s="3">
        <v>1776218</v>
      </c>
      <c r="E1114" s="3">
        <f t="shared" si="35"/>
        <v>1.7762180000000001</v>
      </c>
      <c r="F1114" s="1">
        <v>3488</v>
      </c>
      <c r="G1114" s="2">
        <v>80737.2</v>
      </c>
      <c r="H1114" s="1">
        <v>269409</v>
      </c>
      <c r="M1114" t="s">
        <v>1368</v>
      </c>
      <c r="N1114" t="s">
        <v>1594</v>
      </c>
    </row>
    <row r="1115" spans="1:14" x14ac:dyDescent="0.25">
      <c r="A1115" t="s">
        <v>1369</v>
      </c>
      <c r="B1115" t="str">
        <f t="shared" si="34"/>
        <v>p__Bacteroidota</v>
      </c>
      <c r="C1115" s="1">
        <v>13</v>
      </c>
      <c r="D1115" s="3">
        <v>1572380</v>
      </c>
      <c r="E1115" s="3">
        <f t="shared" si="35"/>
        <v>1.5723800000000001</v>
      </c>
      <c r="F1115" s="1">
        <v>3260</v>
      </c>
      <c r="G1115" s="2">
        <v>120952.3</v>
      </c>
      <c r="H1115" s="1">
        <v>495549</v>
      </c>
      <c r="M1115" t="s">
        <v>1369</v>
      </c>
      <c r="N1115" t="s">
        <v>1594</v>
      </c>
    </row>
    <row r="1116" spans="1:14" x14ac:dyDescent="0.25">
      <c r="A1116" t="s">
        <v>1370</v>
      </c>
      <c r="B1116" t="str">
        <f t="shared" si="34"/>
        <v>p__Bacteroidota</v>
      </c>
      <c r="C1116" s="1">
        <v>34</v>
      </c>
      <c r="D1116" s="3">
        <v>2754009</v>
      </c>
      <c r="E1116" s="3">
        <f t="shared" si="35"/>
        <v>2.7540089999999999</v>
      </c>
      <c r="F1116" s="1">
        <v>2522</v>
      </c>
      <c r="G1116" s="2">
        <v>81000.3</v>
      </c>
      <c r="H1116" s="1">
        <v>298324</v>
      </c>
      <c r="M1116" t="s">
        <v>1370</v>
      </c>
      <c r="N1116" t="s">
        <v>1594</v>
      </c>
    </row>
    <row r="1117" spans="1:14" x14ac:dyDescent="0.25">
      <c r="A1117" t="s">
        <v>1371</v>
      </c>
      <c r="B1117" t="str">
        <f t="shared" si="34"/>
        <v>p__Bacteroidota</v>
      </c>
      <c r="C1117" s="1">
        <v>4</v>
      </c>
      <c r="D1117" s="3">
        <v>2133795</v>
      </c>
      <c r="E1117" s="3">
        <f t="shared" si="35"/>
        <v>2.1337950000000001</v>
      </c>
      <c r="F1117" s="1">
        <v>147372</v>
      </c>
      <c r="G1117" s="2">
        <v>533448.80000000005</v>
      </c>
      <c r="H1117" s="1">
        <v>1002149</v>
      </c>
      <c r="M1117" t="s">
        <v>1371</v>
      </c>
      <c r="N1117" t="s">
        <v>1594</v>
      </c>
    </row>
    <row r="1118" spans="1:14" x14ac:dyDescent="0.25">
      <c r="A1118" t="s">
        <v>1372</v>
      </c>
      <c r="B1118" t="str">
        <f t="shared" si="34"/>
        <v>p__Bacteroidota</v>
      </c>
      <c r="C1118" s="1">
        <v>21</v>
      </c>
      <c r="D1118" s="3">
        <v>1114040</v>
      </c>
      <c r="E1118" s="3">
        <f t="shared" si="35"/>
        <v>1.1140399999999999</v>
      </c>
      <c r="F1118" s="1">
        <v>2114</v>
      </c>
      <c r="G1118" s="2">
        <v>53049.5</v>
      </c>
      <c r="H1118" s="1">
        <v>214524</v>
      </c>
      <c r="M1118" t="s">
        <v>1372</v>
      </c>
      <c r="N1118" t="s">
        <v>1594</v>
      </c>
    </row>
    <row r="1119" spans="1:14" x14ac:dyDescent="0.25">
      <c r="A1119" t="s">
        <v>1373</v>
      </c>
      <c r="B1119" t="str">
        <f t="shared" si="34"/>
        <v>p__Bacteroidota</v>
      </c>
      <c r="C1119" s="1">
        <v>1</v>
      </c>
      <c r="D1119" s="3">
        <v>2464926</v>
      </c>
      <c r="E1119" s="3">
        <f t="shared" si="35"/>
        <v>2.4649260000000002</v>
      </c>
      <c r="F1119" s="1">
        <v>2464926</v>
      </c>
      <c r="G1119" s="1">
        <v>2464926</v>
      </c>
      <c r="H1119" s="1">
        <v>2464926</v>
      </c>
      <c r="M1119" t="s">
        <v>1373</v>
      </c>
      <c r="N1119" t="s">
        <v>1594</v>
      </c>
    </row>
    <row r="1120" spans="1:14" x14ac:dyDescent="0.25">
      <c r="A1120" t="s">
        <v>1374</v>
      </c>
      <c r="B1120" t="str">
        <f t="shared" si="34"/>
        <v>p__Bacteroidota</v>
      </c>
      <c r="C1120" s="1">
        <v>39</v>
      </c>
      <c r="D1120" s="3">
        <v>2804560</v>
      </c>
      <c r="E1120" s="3">
        <f t="shared" si="35"/>
        <v>2.8045599999999999</v>
      </c>
      <c r="F1120" s="1">
        <v>5450</v>
      </c>
      <c r="G1120" s="2">
        <v>71911.8</v>
      </c>
      <c r="H1120" s="1">
        <v>242583</v>
      </c>
      <c r="M1120" t="s">
        <v>1374</v>
      </c>
      <c r="N1120" t="s">
        <v>1594</v>
      </c>
    </row>
    <row r="1121" spans="1:14" x14ac:dyDescent="0.25">
      <c r="A1121" t="s">
        <v>1375</v>
      </c>
      <c r="B1121" t="str">
        <f t="shared" si="34"/>
        <v>p__Bacteroidota</v>
      </c>
      <c r="C1121" s="1">
        <v>9</v>
      </c>
      <c r="D1121" s="3">
        <v>1466614</v>
      </c>
      <c r="E1121" s="3">
        <f t="shared" si="35"/>
        <v>1.4666140000000001</v>
      </c>
      <c r="F1121" s="1">
        <v>2924</v>
      </c>
      <c r="G1121" s="2">
        <v>162957.1</v>
      </c>
      <c r="H1121" s="1">
        <v>334322</v>
      </c>
      <c r="M1121" t="s">
        <v>1375</v>
      </c>
      <c r="N1121" t="s">
        <v>1594</v>
      </c>
    </row>
    <row r="1122" spans="1:14" x14ac:dyDescent="0.25">
      <c r="A1122" t="s">
        <v>1376</v>
      </c>
      <c r="B1122" t="str">
        <f t="shared" si="34"/>
        <v>p__Bacteroidota</v>
      </c>
      <c r="C1122" s="1">
        <v>1</v>
      </c>
      <c r="D1122" s="3">
        <v>1510622</v>
      </c>
      <c r="E1122" s="3">
        <f t="shared" si="35"/>
        <v>1.5106219999999999</v>
      </c>
      <c r="F1122" s="1">
        <v>1510622</v>
      </c>
      <c r="G1122" s="1">
        <v>1510622</v>
      </c>
      <c r="H1122" s="1">
        <v>1510622</v>
      </c>
      <c r="M1122" t="s">
        <v>1376</v>
      </c>
      <c r="N1122" t="s">
        <v>1594</v>
      </c>
    </row>
    <row r="1123" spans="1:14" x14ac:dyDescent="0.25">
      <c r="A1123" t="s">
        <v>1377</v>
      </c>
      <c r="B1123" t="str">
        <f t="shared" si="34"/>
        <v>p__Bacteroidota</v>
      </c>
      <c r="C1123" s="1">
        <v>14</v>
      </c>
      <c r="D1123" s="3">
        <v>1118928</v>
      </c>
      <c r="E1123" s="3">
        <f t="shared" si="35"/>
        <v>1.1189279999999999</v>
      </c>
      <c r="F1123" s="1">
        <v>9637</v>
      </c>
      <c r="G1123" s="2">
        <v>79923.399999999994</v>
      </c>
      <c r="H1123" s="1">
        <v>203011</v>
      </c>
      <c r="M1123" t="s">
        <v>1377</v>
      </c>
      <c r="N1123" t="s">
        <v>1594</v>
      </c>
    </row>
    <row r="1124" spans="1:14" x14ac:dyDescent="0.25">
      <c r="A1124" t="s">
        <v>1378</v>
      </c>
      <c r="B1124" t="str">
        <f t="shared" si="34"/>
        <v>p__Bacteroidota</v>
      </c>
      <c r="C1124" s="1">
        <v>16</v>
      </c>
      <c r="D1124" s="3">
        <v>1506344</v>
      </c>
      <c r="E1124" s="3">
        <f t="shared" si="35"/>
        <v>1.5063439999999999</v>
      </c>
      <c r="F1124" s="1">
        <v>7703</v>
      </c>
      <c r="G1124" s="2">
        <v>94146.5</v>
      </c>
      <c r="H1124" s="1">
        <v>792064</v>
      </c>
      <c r="M1124" t="s">
        <v>1378</v>
      </c>
      <c r="N1124" t="s">
        <v>1594</v>
      </c>
    </row>
    <row r="1125" spans="1:14" x14ac:dyDescent="0.25">
      <c r="A1125" t="s">
        <v>1379</v>
      </c>
      <c r="B1125" t="str">
        <f t="shared" si="34"/>
        <v>p__Bacteroidota</v>
      </c>
      <c r="C1125" s="1">
        <v>13</v>
      </c>
      <c r="D1125" s="3">
        <v>2088829</v>
      </c>
      <c r="E1125" s="3">
        <f t="shared" si="35"/>
        <v>2.088829</v>
      </c>
      <c r="F1125" s="1">
        <v>8130</v>
      </c>
      <c r="G1125" s="2">
        <v>160679.20000000001</v>
      </c>
      <c r="H1125" s="1">
        <v>848045</v>
      </c>
      <c r="M1125" t="s">
        <v>1379</v>
      </c>
      <c r="N1125" t="s">
        <v>1594</v>
      </c>
    </row>
    <row r="1126" spans="1:14" x14ac:dyDescent="0.25">
      <c r="A1126" t="s">
        <v>1380</v>
      </c>
      <c r="B1126" t="str">
        <f t="shared" si="34"/>
        <v>p__Bacteroidota</v>
      </c>
      <c r="C1126" s="1">
        <v>12</v>
      </c>
      <c r="D1126" s="3">
        <v>1967677</v>
      </c>
      <c r="E1126" s="3">
        <f t="shared" si="35"/>
        <v>1.9676769999999999</v>
      </c>
      <c r="F1126" s="1">
        <v>10903</v>
      </c>
      <c r="G1126" s="2">
        <v>163973.1</v>
      </c>
      <c r="H1126" s="1">
        <v>776946</v>
      </c>
      <c r="M1126" t="s">
        <v>1380</v>
      </c>
      <c r="N1126" t="s">
        <v>1594</v>
      </c>
    </row>
    <row r="1127" spans="1:14" x14ac:dyDescent="0.25">
      <c r="A1127" t="s">
        <v>1381</v>
      </c>
      <c r="B1127" t="str">
        <f t="shared" si="34"/>
        <v>p__Bacteroidota</v>
      </c>
      <c r="C1127" s="1">
        <v>38</v>
      </c>
      <c r="D1127" s="3">
        <v>1732481</v>
      </c>
      <c r="E1127" s="3">
        <f t="shared" si="35"/>
        <v>1.7324809999999999</v>
      </c>
      <c r="F1127" s="1">
        <v>9081</v>
      </c>
      <c r="G1127" s="2">
        <v>45591.6</v>
      </c>
      <c r="H1127" s="1">
        <v>161772</v>
      </c>
      <c r="M1127" t="s">
        <v>1381</v>
      </c>
      <c r="N1127" t="s">
        <v>1594</v>
      </c>
    </row>
    <row r="1128" spans="1:14" x14ac:dyDescent="0.25">
      <c r="A1128" t="s">
        <v>1382</v>
      </c>
      <c r="B1128" t="str">
        <f t="shared" si="34"/>
        <v>p__Bacteroidota</v>
      </c>
      <c r="C1128" s="1">
        <v>21</v>
      </c>
      <c r="D1128" s="3">
        <v>1478402</v>
      </c>
      <c r="E1128" s="3">
        <f t="shared" si="35"/>
        <v>1.478402</v>
      </c>
      <c r="F1128" s="1">
        <v>14002</v>
      </c>
      <c r="G1128" s="2">
        <v>70400.100000000006</v>
      </c>
      <c r="H1128" s="1">
        <v>268271</v>
      </c>
      <c r="M1128" t="s">
        <v>1382</v>
      </c>
      <c r="N1128" t="s">
        <v>1594</v>
      </c>
    </row>
    <row r="1129" spans="1:14" x14ac:dyDescent="0.25">
      <c r="A1129" t="s">
        <v>1383</v>
      </c>
      <c r="B1129" t="str">
        <f t="shared" si="34"/>
        <v>p__Bacteroidota</v>
      </c>
      <c r="C1129" s="1">
        <v>15</v>
      </c>
      <c r="D1129" s="3">
        <v>2588886</v>
      </c>
      <c r="E1129" s="3">
        <f t="shared" si="35"/>
        <v>2.588886</v>
      </c>
      <c r="F1129" s="1">
        <v>17941</v>
      </c>
      <c r="G1129" s="2">
        <v>172592.4</v>
      </c>
      <c r="H1129" s="1">
        <v>474616</v>
      </c>
      <c r="M1129" t="s">
        <v>1383</v>
      </c>
      <c r="N1129" t="s">
        <v>1594</v>
      </c>
    </row>
    <row r="1130" spans="1:14" x14ac:dyDescent="0.25">
      <c r="A1130" t="s">
        <v>1384</v>
      </c>
      <c r="B1130" t="str">
        <f t="shared" si="34"/>
        <v>p__Bacteroidota</v>
      </c>
      <c r="C1130" s="1">
        <v>39</v>
      </c>
      <c r="D1130" s="3">
        <v>1640600</v>
      </c>
      <c r="E1130" s="3">
        <f t="shared" si="35"/>
        <v>1.6406000000000001</v>
      </c>
      <c r="F1130" s="1">
        <v>2049</v>
      </c>
      <c r="G1130" s="2">
        <v>42066.7</v>
      </c>
      <c r="H1130" s="1">
        <v>325746</v>
      </c>
      <c r="M1130" t="s">
        <v>1384</v>
      </c>
      <c r="N1130" t="s">
        <v>1594</v>
      </c>
    </row>
    <row r="1131" spans="1:14" x14ac:dyDescent="0.25">
      <c r="A1131" t="s">
        <v>1385</v>
      </c>
      <c r="B1131" t="str">
        <f t="shared" si="34"/>
        <v>p__Bacteroidota</v>
      </c>
      <c r="C1131" s="1">
        <v>11</v>
      </c>
      <c r="D1131" s="3">
        <v>3241984</v>
      </c>
      <c r="E1131" s="3">
        <f t="shared" si="35"/>
        <v>3.241984</v>
      </c>
      <c r="F1131" s="1">
        <v>13779</v>
      </c>
      <c r="G1131" s="2">
        <v>294725.8</v>
      </c>
      <c r="H1131" s="1">
        <v>1391211</v>
      </c>
      <c r="M1131" t="s">
        <v>1385</v>
      </c>
      <c r="N1131" t="s">
        <v>1594</v>
      </c>
    </row>
    <row r="1132" spans="1:14" x14ac:dyDescent="0.25">
      <c r="A1132" t="s">
        <v>1386</v>
      </c>
      <c r="B1132" t="str">
        <f t="shared" si="34"/>
        <v>p__Bacteroidota</v>
      </c>
      <c r="C1132" s="1">
        <v>15</v>
      </c>
      <c r="D1132" s="3">
        <v>2379281</v>
      </c>
      <c r="E1132" s="3">
        <f t="shared" si="35"/>
        <v>2.3792810000000002</v>
      </c>
      <c r="F1132" s="1">
        <v>2284</v>
      </c>
      <c r="G1132" s="2">
        <v>158618.70000000001</v>
      </c>
      <c r="H1132" s="1">
        <v>1285227</v>
      </c>
      <c r="M1132" t="s">
        <v>1386</v>
      </c>
      <c r="N1132" t="s">
        <v>1594</v>
      </c>
    </row>
    <row r="1133" spans="1:14" x14ac:dyDescent="0.25">
      <c r="A1133" t="s">
        <v>1387</v>
      </c>
      <c r="B1133" t="str">
        <f t="shared" si="34"/>
        <v>p__Bacteroidota</v>
      </c>
      <c r="C1133" s="1">
        <v>3</v>
      </c>
      <c r="D1133" s="3">
        <v>2359192</v>
      </c>
      <c r="E1133" s="3">
        <f t="shared" si="35"/>
        <v>2.3591920000000002</v>
      </c>
      <c r="F1133" s="1">
        <v>203994</v>
      </c>
      <c r="G1133" s="2">
        <v>786397.3</v>
      </c>
      <c r="H1133" s="1">
        <v>1919722</v>
      </c>
      <c r="M1133" t="s">
        <v>1387</v>
      </c>
      <c r="N1133" t="s">
        <v>1594</v>
      </c>
    </row>
    <row r="1134" spans="1:14" x14ac:dyDescent="0.25">
      <c r="A1134" t="s">
        <v>1388</v>
      </c>
      <c r="B1134" t="str">
        <f t="shared" si="34"/>
        <v>p__Bacteroidota</v>
      </c>
      <c r="C1134" s="1">
        <v>1</v>
      </c>
      <c r="D1134" s="3">
        <v>2226983</v>
      </c>
      <c r="E1134" s="3">
        <f t="shared" si="35"/>
        <v>2.2269830000000002</v>
      </c>
      <c r="F1134" s="1">
        <v>2226983</v>
      </c>
      <c r="G1134" s="1">
        <v>2226983</v>
      </c>
      <c r="H1134" s="1">
        <v>2226983</v>
      </c>
      <c r="M1134" t="s">
        <v>1388</v>
      </c>
      <c r="N1134" t="s">
        <v>1594</v>
      </c>
    </row>
    <row r="1135" spans="1:14" x14ac:dyDescent="0.25">
      <c r="A1135" t="s">
        <v>1389</v>
      </c>
      <c r="B1135" t="str">
        <f t="shared" si="34"/>
        <v>p__Bacteroidota</v>
      </c>
      <c r="C1135" s="1">
        <v>21</v>
      </c>
      <c r="D1135" s="3">
        <v>2967685</v>
      </c>
      <c r="E1135" s="3">
        <f t="shared" si="35"/>
        <v>2.9676849999999999</v>
      </c>
      <c r="F1135" s="1">
        <v>2025</v>
      </c>
      <c r="G1135" s="2">
        <v>141318.29999999999</v>
      </c>
      <c r="H1135" s="1">
        <v>2648676</v>
      </c>
      <c r="M1135" t="s">
        <v>1389</v>
      </c>
      <c r="N1135" t="s">
        <v>1594</v>
      </c>
    </row>
    <row r="1136" spans="1:14" x14ac:dyDescent="0.25">
      <c r="A1136" t="s">
        <v>1390</v>
      </c>
      <c r="B1136" t="str">
        <f t="shared" si="34"/>
        <v>p__Bacteroidota</v>
      </c>
      <c r="C1136" s="1">
        <v>4</v>
      </c>
      <c r="D1136" s="3">
        <v>2070994</v>
      </c>
      <c r="E1136" s="3">
        <f t="shared" si="35"/>
        <v>2.0709939999999998</v>
      </c>
      <c r="F1136" s="1">
        <v>2602</v>
      </c>
      <c r="G1136" s="2">
        <v>517748.5</v>
      </c>
      <c r="H1136" s="1">
        <v>1095641</v>
      </c>
      <c r="M1136" t="s">
        <v>1390</v>
      </c>
      <c r="N1136" t="s">
        <v>1594</v>
      </c>
    </row>
    <row r="1137" spans="1:14" x14ac:dyDescent="0.25">
      <c r="A1137" t="s">
        <v>1391</v>
      </c>
      <c r="B1137" t="str">
        <f t="shared" si="34"/>
        <v>p__Bacteroidota</v>
      </c>
      <c r="C1137" s="1">
        <v>62</v>
      </c>
      <c r="D1137" s="3">
        <v>2517374</v>
      </c>
      <c r="E1137" s="3">
        <f t="shared" si="35"/>
        <v>2.5173739999999998</v>
      </c>
      <c r="F1137" s="1">
        <v>2041</v>
      </c>
      <c r="G1137" s="2">
        <v>40602.800000000003</v>
      </c>
      <c r="H1137" s="1">
        <v>445680</v>
      </c>
      <c r="M1137" t="s">
        <v>1391</v>
      </c>
      <c r="N1137" t="s">
        <v>1594</v>
      </c>
    </row>
    <row r="1138" spans="1:14" x14ac:dyDescent="0.25">
      <c r="A1138" t="s">
        <v>1392</v>
      </c>
      <c r="B1138" t="str">
        <f t="shared" si="34"/>
        <v>p__Bacteroidota</v>
      </c>
      <c r="C1138" s="1">
        <v>35</v>
      </c>
      <c r="D1138" s="3">
        <v>1661071</v>
      </c>
      <c r="E1138" s="3">
        <f t="shared" si="35"/>
        <v>1.661071</v>
      </c>
      <c r="F1138" s="1">
        <v>4116</v>
      </c>
      <c r="G1138" s="2">
        <v>47459.199999999997</v>
      </c>
      <c r="H1138" s="1">
        <v>239506</v>
      </c>
      <c r="M1138" t="s">
        <v>1392</v>
      </c>
      <c r="N1138" t="s">
        <v>1594</v>
      </c>
    </row>
    <row r="1139" spans="1:14" x14ac:dyDescent="0.25">
      <c r="A1139" t="s">
        <v>1393</v>
      </c>
      <c r="B1139" t="str">
        <f t="shared" si="34"/>
        <v>p__Bacteroidota</v>
      </c>
      <c r="C1139" s="1">
        <v>14</v>
      </c>
      <c r="D1139" s="3">
        <v>2457246</v>
      </c>
      <c r="E1139" s="3">
        <f t="shared" si="35"/>
        <v>2.457246</v>
      </c>
      <c r="F1139" s="1">
        <v>19871</v>
      </c>
      <c r="G1139" s="2">
        <v>175517.6</v>
      </c>
      <c r="H1139" s="1">
        <v>550785</v>
      </c>
      <c r="M1139" t="s">
        <v>1393</v>
      </c>
      <c r="N1139" t="s">
        <v>1594</v>
      </c>
    </row>
    <row r="1140" spans="1:14" x14ac:dyDescent="0.25">
      <c r="A1140" t="s">
        <v>1394</v>
      </c>
      <c r="B1140" t="str">
        <f t="shared" si="34"/>
        <v>p__Bacteroidota</v>
      </c>
      <c r="C1140" s="1">
        <v>5</v>
      </c>
      <c r="D1140" s="3">
        <v>1794047</v>
      </c>
      <c r="E1140" s="3">
        <f t="shared" si="35"/>
        <v>1.7940469999999999</v>
      </c>
      <c r="F1140" s="1">
        <v>134951</v>
      </c>
      <c r="G1140" s="2">
        <v>358809.4</v>
      </c>
      <c r="H1140" s="1">
        <v>601934</v>
      </c>
      <c r="M1140" t="s">
        <v>1394</v>
      </c>
      <c r="N1140" t="s">
        <v>1594</v>
      </c>
    </row>
    <row r="1141" spans="1:14" x14ac:dyDescent="0.25">
      <c r="A1141" t="s">
        <v>1395</v>
      </c>
      <c r="B1141" t="str">
        <f t="shared" si="34"/>
        <v>p__Bacteroidota</v>
      </c>
      <c r="C1141" s="1">
        <v>31</v>
      </c>
      <c r="D1141" s="3">
        <v>1665611</v>
      </c>
      <c r="E1141" s="3">
        <f t="shared" si="35"/>
        <v>1.665611</v>
      </c>
      <c r="F1141" s="1">
        <v>3354</v>
      </c>
      <c r="G1141" s="2">
        <v>53729.4</v>
      </c>
      <c r="H1141" s="1">
        <v>323266</v>
      </c>
      <c r="M1141" t="s">
        <v>1395</v>
      </c>
      <c r="N1141" t="s">
        <v>1594</v>
      </c>
    </row>
    <row r="1142" spans="1:14" x14ac:dyDescent="0.25">
      <c r="A1142" t="s">
        <v>1396</v>
      </c>
      <c r="B1142" t="str">
        <f t="shared" si="34"/>
        <v>p__Bacteroidota</v>
      </c>
      <c r="C1142" s="1">
        <v>30</v>
      </c>
      <c r="D1142" s="3">
        <v>2037393</v>
      </c>
      <c r="E1142" s="3">
        <f t="shared" si="35"/>
        <v>2.0373929999999998</v>
      </c>
      <c r="F1142" s="1">
        <v>7941</v>
      </c>
      <c r="G1142" s="2">
        <v>67913.100000000006</v>
      </c>
      <c r="H1142" s="1">
        <v>307900</v>
      </c>
      <c r="M1142" t="s">
        <v>1396</v>
      </c>
      <c r="N1142" t="s">
        <v>1594</v>
      </c>
    </row>
    <row r="1143" spans="1:14" x14ac:dyDescent="0.25">
      <c r="A1143" t="s">
        <v>1397</v>
      </c>
      <c r="B1143" t="str">
        <f t="shared" si="34"/>
        <v>p__Bacteroidota</v>
      </c>
      <c r="C1143" s="1">
        <v>6</v>
      </c>
      <c r="D1143" s="3">
        <v>1678753</v>
      </c>
      <c r="E1143" s="3">
        <f t="shared" si="35"/>
        <v>1.6787529999999999</v>
      </c>
      <c r="F1143" s="1">
        <v>89316</v>
      </c>
      <c r="G1143" s="2">
        <v>279792.2</v>
      </c>
      <c r="H1143" s="1">
        <v>639485</v>
      </c>
      <c r="M1143" t="s">
        <v>1397</v>
      </c>
      <c r="N1143" t="s">
        <v>1594</v>
      </c>
    </row>
    <row r="1144" spans="1:14" x14ac:dyDescent="0.25">
      <c r="A1144" t="s">
        <v>1398</v>
      </c>
      <c r="B1144" t="str">
        <f t="shared" si="34"/>
        <v>p__Bacteroidota</v>
      </c>
      <c r="C1144" s="1">
        <v>12</v>
      </c>
      <c r="D1144" s="3">
        <v>2606424</v>
      </c>
      <c r="E1144" s="3">
        <f t="shared" si="35"/>
        <v>2.6064240000000001</v>
      </c>
      <c r="F1144" s="1">
        <v>2169</v>
      </c>
      <c r="G1144" s="1">
        <v>217202</v>
      </c>
      <c r="H1144" s="1">
        <v>756864</v>
      </c>
      <c r="M1144" t="s">
        <v>1398</v>
      </c>
      <c r="N1144" t="s">
        <v>1594</v>
      </c>
    </row>
    <row r="1145" spans="1:14" x14ac:dyDescent="0.25">
      <c r="A1145" t="s">
        <v>1399</v>
      </c>
      <c r="B1145" t="str">
        <f t="shared" si="34"/>
        <v>p__Bacteroidota</v>
      </c>
      <c r="C1145" s="1">
        <v>6</v>
      </c>
      <c r="D1145" s="3">
        <v>1909362</v>
      </c>
      <c r="E1145" s="3">
        <f t="shared" si="35"/>
        <v>1.909362</v>
      </c>
      <c r="F1145" s="1">
        <v>15673</v>
      </c>
      <c r="G1145" s="1">
        <v>318227</v>
      </c>
      <c r="H1145" s="1">
        <v>1436417</v>
      </c>
      <c r="M1145" t="s">
        <v>1399</v>
      </c>
      <c r="N1145" t="s">
        <v>1594</v>
      </c>
    </row>
    <row r="1146" spans="1:14" x14ac:dyDescent="0.25">
      <c r="A1146" t="s">
        <v>1400</v>
      </c>
      <c r="B1146" t="str">
        <f t="shared" si="34"/>
        <v>p__Bacteroidota</v>
      </c>
      <c r="C1146" s="1">
        <v>91</v>
      </c>
      <c r="D1146" s="3">
        <v>1661201</v>
      </c>
      <c r="E1146" s="3">
        <f t="shared" si="35"/>
        <v>1.6612009999999999</v>
      </c>
      <c r="F1146" s="1">
        <v>2015</v>
      </c>
      <c r="G1146" s="1">
        <v>18255</v>
      </c>
      <c r="H1146" s="1">
        <v>240730</v>
      </c>
      <c r="M1146" t="s">
        <v>1400</v>
      </c>
      <c r="N1146" t="s">
        <v>1594</v>
      </c>
    </row>
    <row r="1147" spans="1:14" x14ac:dyDescent="0.25">
      <c r="A1147" t="s">
        <v>1401</v>
      </c>
      <c r="B1147" t="str">
        <f t="shared" si="34"/>
        <v>p__Bacteroidota</v>
      </c>
      <c r="C1147" s="1">
        <v>17</v>
      </c>
      <c r="D1147" s="3">
        <v>1750058</v>
      </c>
      <c r="E1147" s="3">
        <f t="shared" si="35"/>
        <v>1.7500579999999999</v>
      </c>
      <c r="F1147" s="1">
        <v>2941</v>
      </c>
      <c r="G1147" s="2">
        <v>102944.6</v>
      </c>
      <c r="H1147" s="1">
        <v>387378</v>
      </c>
      <c r="M1147" t="s">
        <v>1401</v>
      </c>
      <c r="N1147" t="s">
        <v>1594</v>
      </c>
    </row>
    <row r="1148" spans="1:14" x14ac:dyDescent="0.25">
      <c r="A1148" t="s">
        <v>1402</v>
      </c>
      <c r="B1148" t="str">
        <f t="shared" si="34"/>
        <v>p__Bacteroidota</v>
      </c>
      <c r="C1148" s="1">
        <v>12</v>
      </c>
      <c r="D1148" s="3">
        <v>2563320</v>
      </c>
      <c r="E1148" s="3">
        <f t="shared" si="35"/>
        <v>2.56332</v>
      </c>
      <c r="F1148" s="1">
        <v>4137</v>
      </c>
      <c r="G1148" s="1">
        <v>213610</v>
      </c>
      <c r="H1148" s="1">
        <v>1016839</v>
      </c>
      <c r="M1148" t="s">
        <v>1402</v>
      </c>
      <c r="N1148" t="s">
        <v>1594</v>
      </c>
    </row>
    <row r="1149" spans="1:14" x14ac:dyDescent="0.25">
      <c r="A1149" t="s">
        <v>1403</v>
      </c>
      <c r="B1149" t="str">
        <f t="shared" si="34"/>
        <v>p__Bacteroidota</v>
      </c>
      <c r="C1149" s="1">
        <v>4</v>
      </c>
      <c r="D1149" s="3">
        <v>2400982</v>
      </c>
      <c r="E1149" s="3">
        <f t="shared" si="35"/>
        <v>2.4009819999999999</v>
      </c>
      <c r="F1149" s="1">
        <v>178573</v>
      </c>
      <c r="G1149" s="2">
        <v>600245.5</v>
      </c>
      <c r="H1149" s="1">
        <v>822179</v>
      </c>
      <c r="M1149" t="s">
        <v>1403</v>
      </c>
      <c r="N1149" t="s">
        <v>1594</v>
      </c>
    </row>
    <row r="1150" spans="1:14" x14ac:dyDescent="0.25">
      <c r="A1150" t="s">
        <v>1404</v>
      </c>
      <c r="B1150" t="str">
        <f t="shared" si="34"/>
        <v>p__Bacteroidota</v>
      </c>
      <c r="C1150" s="1">
        <v>17</v>
      </c>
      <c r="D1150" s="3">
        <v>1962603</v>
      </c>
      <c r="E1150" s="3">
        <f t="shared" si="35"/>
        <v>1.9626030000000001</v>
      </c>
      <c r="F1150" s="1">
        <v>3907</v>
      </c>
      <c r="G1150" s="2">
        <v>115447.2</v>
      </c>
      <c r="H1150" s="1">
        <v>378452</v>
      </c>
      <c r="M1150" t="s">
        <v>1404</v>
      </c>
      <c r="N1150" t="s">
        <v>1594</v>
      </c>
    </row>
    <row r="1151" spans="1:14" x14ac:dyDescent="0.25">
      <c r="A1151" t="s">
        <v>1405</v>
      </c>
      <c r="B1151" t="str">
        <f t="shared" si="34"/>
        <v>p__Bacteroidota</v>
      </c>
      <c r="C1151" s="1">
        <v>11</v>
      </c>
      <c r="D1151" s="3">
        <v>2395484</v>
      </c>
      <c r="E1151" s="3">
        <f t="shared" si="35"/>
        <v>2.3954840000000002</v>
      </c>
      <c r="F1151" s="1">
        <v>19331</v>
      </c>
      <c r="G1151" s="2">
        <v>217771.3</v>
      </c>
      <c r="H1151" s="1">
        <v>1000269</v>
      </c>
      <c r="M1151" t="s">
        <v>1405</v>
      </c>
      <c r="N1151" t="s">
        <v>1594</v>
      </c>
    </row>
    <row r="1152" spans="1:14" x14ac:dyDescent="0.25">
      <c r="A1152" t="s">
        <v>1406</v>
      </c>
      <c r="B1152" t="str">
        <f t="shared" si="34"/>
        <v>p__Bacteroidota</v>
      </c>
      <c r="C1152" s="1">
        <v>7</v>
      </c>
      <c r="D1152" s="3">
        <v>2791997</v>
      </c>
      <c r="E1152" s="3">
        <f t="shared" si="35"/>
        <v>2.7919969999999998</v>
      </c>
      <c r="F1152" s="1">
        <v>82347</v>
      </c>
      <c r="G1152" s="2">
        <v>398856.7</v>
      </c>
      <c r="H1152" s="1">
        <v>1710684</v>
      </c>
      <c r="M1152" t="s">
        <v>1406</v>
      </c>
      <c r="N1152" t="s">
        <v>1594</v>
      </c>
    </row>
    <row r="1153" spans="1:14" x14ac:dyDescent="0.25">
      <c r="A1153" t="s">
        <v>1407</v>
      </c>
      <c r="B1153" t="str">
        <f t="shared" si="34"/>
        <v>p__Bacteroidota</v>
      </c>
      <c r="C1153" s="1">
        <v>3</v>
      </c>
      <c r="D1153" s="3">
        <v>2558630</v>
      </c>
      <c r="E1153" s="3">
        <f t="shared" si="35"/>
        <v>2.55863</v>
      </c>
      <c r="F1153" s="1">
        <v>103134</v>
      </c>
      <c r="G1153" s="2">
        <v>852876.7</v>
      </c>
      <c r="H1153" s="1">
        <v>1383356</v>
      </c>
      <c r="M1153" t="s">
        <v>1407</v>
      </c>
      <c r="N1153" t="s">
        <v>1594</v>
      </c>
    </row>
    <row r="1154" spans="1:14" x14ac:dyDescent="0.25">
      <c r="A1154" t="s">
        <v>1408</v>
      </c>
      <c r="B1154" t="str">
        <f t="shared" ref="B1154:B1217" si="36">VLOOKUP(A1154,M:N,2,FALSE)</f>
        <v>p__Bacteroidota</v>
      </c>
      <c r="C1154" s="1">
        <v>5</v>
      </c>
      <c r="D1154" s="3">
        <v>4630366</v>
      </c>
      <c r="E1154" s="3">
        <f t="shared" ref="E1154:E1217" si="37">D1154/1000000</f>
        <v>4.6303660000000004</v>
      </c>
      <c r="F1154" s="1">
        <v>235581</v>
      </c>
      <c r="G1154" s="2">
        <v>926073.2</v>
      </c>
      <c r="H1154" s="1">
        <v>2706026</v>
      </c>
      <c r="M1154" t="s">
        <v>1408</v>
      </c>
      <c r="N1154" t="s">
        <v>1594</v>
      </c>
    </row>
    <row r="1155" spans="1:14" x14ac:dyDescent="0.25">
      <c r="A1155" t="s">
        <v>1409</v>
      </c>
      <c r="B1155" t="str">
        <f t="shared" si="36"/>
        <v>p__Bacteroidota</v>
      </c>
      <c r="C1155" s="1">
        <v>119</v>
      </c>
      <c r="D1155" s="3">
        <v>4321958</v>
      </c>
      <c r="E1155" s="3">
        <f t="shared" si="37"/>
        <v>4.3219580000000004</v>
      </c>
      <c r="F1155" s="1">
        <v>2002</v>
      </c>
      <c r="G1155" s="1">
        <v>36319</v>
      </c>
      <c r="H1155" s="1">
        <v>151143</v>
      </c>
      <c r="M1155" t="s">
        <v>1409</v>
      </c>
      <c r="N1155" t="s">
        <v>1594</v>
      </c>
    </row>
    <row r="1156" spans="1:14" x14ac:dyDescent="0.25">
      <c r="A1156" t="s">
        <v>1410</v>
      </c>
      <c r="B1156" t="str">
        <f t="shared" si="36"/>
        <v>p__Bacteroidota</v>
      </c>
      <c r="C1156" s="1">
        <v>27</v>
      </c>
      <c r="D1156" s="3">
        <v>2886043</v>
      </c>
      <c r="E1156" s="3">
        <f t="shared" si="37"/>
        <v>2.8860429999999999</v>
      </c>
      <c r="F1156" s="1">
        <v>15575</v>
      </c>
      <c r="G1156" s="2">
        <v>106890.5</v>
      </c>
      <c r="H1156" s="1">
        <v>625660</v>
      </c>
      <c r="M1156" t="s">
        <v>1410</v>
      </c>
      <c r="N1156" t="s">
        <v>1594</v>
      </c>
    </row>
    <row r="1157" spans="1:14" x14ac:dyDescent="0.25">
      <c r="A1157" t="s">
        <v>1411</v>
      </c>
      <c r="B1157" t="str">
        <f t="shared" si="36"/>
        <v>p__Bacteroidota</v>
      </c>
      <c r="C1157" s="1">
        <v>59</v>
      </c>
      <c r="D1157" s="3">
        <v>3081834</v>
      </c>
      <c r="E1157" s="3">
        <f t="shared" si="37"/>
        <v>3.0818340000000002</v>
      </c>
      <c r="F1157" s="1">
        <v>2218</v>
      </c>
      <c r="G1157" s="2">
        <v>52234.5</v>
      </c>
      <c r="H1157" s="1">
        <v>314281</v>
      </c>
      <c r="M1157" t="s">
        <v>1411</v>
      </c>
      <c r="N1157" t="s">
        <v>1594</v>
      </c>
    </row>
    <row r="1158" spans="1:14" x14ac:dyDescent="0.25">
      <c r="A1158" t="s">
        <v>1412</v>
      </c>
      <c r="B1158" t="str">
        <f t="shared" si="36"/>
        <v>p__Bacteroidota</v>
      </c>
      <c r="C1158" s="1">
        <v>19</v>
      </c>
      <c r="D1158" s="3">
        <v>3018470</v>
      </c>
      <c r="E1158" s="3">
        <f t="shared" si="37"/>
        <v>3.0184700000000002</v>
      </c>
      <c r="F1158" s="1">
        <v>14647</v>
      </c>
      <c r="G1158" s="2">
        <v>158866.79999999999</v>
      </c>
      <c r="H1158" s="1">
        <v>584656</v>
      </c>
      <c r="M1158" t="s">
        <v>1412</v>
      </c>
      <c r="N1158" t="s">
        <v>1594</v>
      </c>
    </row>
    <row r="1159" spans="1:14" x14ac:dyDescent="0.25">
      <c r="A1159" t="s">
        <v>1413</v>
      </c>
      <c r="B1159" t="str">
        <f t="shared" si="36"/>
        <v>p__Bacteroidota</v>
      </c>
      <c r="C1159" s="1">
        <v>24</v>
      </c>
      <c r="D1159" s="3">
        <v>3351793</v>
      </c>
      <c r="E1159" s="3">
        <f t="shared" si="37"/>
        <v>3.3517929999999998</v>
      </c>
      <c r="F1159" s="1">
        <v>6034</v>
      </c>
      <c r="G1159" s="1">
        <v>139658</v>
      </c>
      <c r="H1159" s="1">
        <v>705595</v>
      </c>
      <c r="M1159" t="s">
        <v>1413</v>
      </c>
      <c r="N1159" t="s">
        <v>1594</v>
      </c>
    </row>
    <row r="1160" spans="1:14" x14ac:dyDescent="0.25">
      <c r="A1160" t="s">
        <v>1414</v>
      </c>
      <c r="B1160" t="str">
        <f t="shared" si="36"/>
        <v>p__Bacteroidota</v>
      </c>
      <c r="C1160" s="1">
        <v>20</v>
      </c>
      <c r="D1160" s="3">
        <v>4562121</v>
      </c>
      <c r="E1160" s="3">
        <f t="shared" si="37"/>
        <v>4.5621210000000003</v>
      </c>
      <c r="F1160" s="1">
        <v>2644</v>
      </c>
      <c r="G1160" s="2">
        <v>228106.1</v>
      </c>
      <c r="H1160" s="1">
        <v>1034211</v>
      </c>
      <c r="M1160" t="s">
        <v>1414</v>
      </c>
      <c r="N1160" t="s">
        <v>1594</v>
      </c>
    </row>
    <row r="1161" spans="1:14" x14ac:dyDescent="0.25">
      <c r="A1161" t="s">
        <v>1415</v>
      </c>
      <c r="B1161" t="str">
        <f t="shared" si="36"/>
        <v>p__Bacteroidota</v>
      </c>
      <c r="C1161" s="1">
        <v>15</v>
      </c>
      <c r="D1161" s="3">
        <v>4195273</v>
      </c>
      <c r="E1161" s="3">
        <f t="shared" si="37"/>
        <v>4.1952730000000003</v>
      </c>
      <c r="F1161" s="1">
        <v>2414</v>
      </c>
      <c r="G1161" s="2">
        <v>279684.90000000002</v>
      </c>
      <c r="H1161" s="1">
        <v>963101</v>
      </c>
      <c r="M1161" t="s">
        <v>1415</v>
      </c>
      <c r="N1161" t="s">
        <v>1594</v>
      </c>
    </row>
    <row r="1162" spans="1:14" x14ac:dyDescent="0.25">
      <c r="A1162" t="s">
        <v>1416</v>
      </c>
      <c r="B1162" t="str">
        <f t="shared" si="36"/>
        <v>p__Bacteroidota</v>
      </c>
      <c r="C1162" s="1">
        <v>4</v>
      </c>
      <c r="D1162" s="3">
        <v>3503442</v>
      </c>
      <c r="E1162" s="3">
        <f t="shared" si="37"/>
        <v>3.5034420000000002</v>
      </c>
      <c r="F1162" s="1">
        <v>177121</v>
      </c>
      <c r="G1162" s="2">
        <v>875860.5</v>
      </c>
      <c r="H1162" s="1">
        <v>1302957</v>
      </c>
      <c r="M1162" t="s">
        <v>1416</v>
      </c>
      <c r="N1162" t="s">
        <v>1594</v>
      </c>
    </row>
    <row r="1163" spans="1:14" x14ac:dyDescent="0.25">
      <c r="A1163" t="s">
        <v>1417</v>
      </c>
      <c r="B1163" t="str">
        <f t="shared" si="36"/>
        <v>p__Bacteroidota</v>
      </c>
      <c r="C1163" s="1">
        <v>7</v>
      </c>
      <c r="D1163" s="3">
        <v>3429630</v>
      </c>
      <c r="E1163" s="3">
        <f t="shared" si="37"/>
        <v>3.42963</v>
      </c>
      <c r="F1163" s="1">
        <v>6519</v>
      </c>
      <c r="G1163" s="2">
        <v>489947.1</v>
      </c>
      <c r="H1163" s="1">
        <v>1348245</v>
      </c>
      <c r="M1163" t="s">
        <v>1417</v>
      </c>
      <c r="N1163" t="s">
        <v>1594</v>
      </c>
    </row>
    <row r="1164" spans="1:14" x14ac:dyDescent="0.25">
      <c r="A1164" t="s">
        <v>1418</v>
      </c>
      <c r="B1164" t="str">
        <f t="shared" si="36"/>
        <v>p__Bacteroidota</v>
      </c>
      <c r="C1164" s="1">
        <v>9</v>
      </c>
      <c r="D1164" s="3">
        <v>5210914</v>
      </c>
      <c r="E1164" s="3">
        <f t="shared" si="37"/>
        <v>5.2109139999999998</v>
      </c>
      <c r="F1164" s="1">
        <v>40324</v>
      </c>
      <c r="G1164" s="2">
        <v>578990.4</v>
      </c>
      <c r="H1164" s="1">
        <v>1540938</v>
      </c>
      <c r="M1164" t="s">
        <v>1418</v>
      </c>
      <c r="N1164" t="s">
        <v>1594</v>
      </c>
    </row>
    <row r="1165" spans="1:14" x14ac:dyDescent="0.25">
      <c r="A1165" t="s">
        <v>1419</v>
      </c>
      <c r="B1165" t="str">
        <f t="shared" si="36"/>
        <v>p__Bacteroidota</v>
      </c>
      <c r="C1165" s="1">
        <v>35</v>
      </c>
      <c r="D1165" s="3">
        <v>2964850</v>
      </c>
      <c r="E1165" s="3">
        <f t="shared" si="37"/>
        <v>2.9648500000000002</v>
      </c>
      <c r="F1165" s="1">
        <v>5524</v>
      </c>
      <c r="G1165" s="1">
        <v>84710</v>
      </c>
      <c r="H1165" s="1">
        <v>519297</v>
      </c>
      <c r="M1165" t="s">
        <v>1419</v>
      </c>
      <c r="N1165" t="s">
        <v>1594</v>
      </c>
    </row>
    <row r="1166" spans="1:14" x14ac:dyDescent="0.25">
      <c r="A1166" t="s">
        <v>1420</v>
      </c>
      <c r="B1166" t="str">
        <f t="shared" si="36"/>
        <v>p__Bacteroidota</v>
      </c>
      <c r="C1166" s="1">
        <v>19</v>
      </c>
      <c r="D1166" s="3">
        <v>3261703</v>
      </c>
      <c r="E1166" s="3">
        <f t="shared" si="37"/>
        <v>3.2617029999999998</v>
      </c>
      <c r="F1166" s="1">
        <v>4238</v>
      </c>
      <c r="G1166" s="2">
        <v>171668.6</v>
      </c>
      <c r="H1166" s="1">
        <v>935376</v>
      </c>
      <c r="M1166" t="s">
        <v>1420</v>
      </c>
      <c r="N1166" t="s">
        <v>1594</v>
      </c>
    </row>
    <row r="1167" spans="1:14" x14ac:dyDescent="0.25">
      <c r="A1167" t="s">
        <v>1421</v>
      </c>
      <c r="B1167" t="str">
        <f t="shared" si="36"/>
        <v>p__Bacteroidota</v>
      </c>
      <c r="C1167" s="1">
        <v>42</v>
      </c>
      <c r="D1167" s="3">
        <v>3530161</v>
      </c>
      <c r="E1167" s="3">
        <f t="shared" si="37"/>
        <v>3.5301610000000001</v>
      </c>
      <c r="F1167" s="1">
        <v>2449</v>
      </c>
      <c r="G1167" s="2">
        <v>84051.5</v>
      </c>
      <c r="H1167" s="1">
        <v>436107</v>
      </c>
      <c r="M1167" t="s">
        <v>1421</v>
      </c>
      <c r="N1167" t="s">
        <v>1594</v>
      </c>
    </row>
    <row r="1168" spans="1:14" x14ac:dyDescent="0.25">
      <c r="A1168" t="s">
        <v>1422</v>
      </c>
      <c r="B1168" t="str">
        <f t="shared" si="36"/>
        <v>p__Bacteroidota</v>
      </c>
      <c r="C1168" s="1">
        <v>69</v>
      </c>
      <c r="D1168" s="3">
        <v>3287297</v>
      </c>
      <c r="E1168" s="3">
        <f t="shared" si="37"/>
        <v>3.2872970000000001</v>
      </c>
      <c r="F1168" s="1">
        <v>5087</v>
      </c>
      <c r="G1168" s="1">
        <v>47642</v>
      </c>
      <c r="H1168" s="1">
        <v>166261</v>
      </c>
      <c r="M1168" t="s">
        <v>1422</v>
      </c>
      <c r="N1168" t="s">
        <v>1594</v>
      </c>
    </row>
    <row r="1169" spans="1:14" x14ac:dyDescent="0.25">
      <c r="A1169" t="s">
        <v>1423</v>
      </c>
      <c r="B1169" t="str">
        <f t="shared" si="36"/>
        <v>p__Bacteroidota</v>
      </c>
      <c r="C1169" s="1">
        <v>39</v>
      </c>
      <c r="D1169" s="3">
        <v>2590263</v>
      </c>
      <c r="E1169" s="3">
        <f t="shared" si="37"/>
        <v>2.5902630000000002</v>
      </c>
      <c r="F1169" s="1">
        <v>3758</v>
      </c>
      <c r="G1169" s="1">
        <v>66417</v>
      </c>
      <c r="H1169" s="1">
        <v>160134</v>
      </c>
      <c r="M1169" t="s">
        <v>1423</v>
      </c>
      <c r="N1169" t="s">
        <v>1594</v>
      </c>
    </row>
    <row r="1170" spans="1:14" x14ac:dyDescent="0.25">
      <c r="A1170" t="s">
        <v>1424</v>
      </c>
      <c r="B1170" t="str">
        <f t="shared" si="36"/>
        <v>p__Bacteroidota</v>
      </c>
      <c r="C1170" s="1">
        <v>16</v>
      </c>
      <c r="D1170" s="3">
        <v>2793276</v>
      </c>
      <c r="E1170" s="3">
        <f t="shared" si="37"/>
        <v>2.7932760000000001</v>
      </c>
      <c r="F1170" s="1">
        <v>4102</v>
      </c>
      <c r="G1170" s="2">
        <v>174579.8</v>
      </c>
      <c r="H1170" s="1">
        <v>647344</v>
      </c>
      <c r="M1170" t="s">
        <v>1424</v>
      </c>
      <c r="N1170" t="s">
        <v>1594</v>
      </c>
    </row>
    <row r="1171" spans="1:14" x14ac:dyDescent="0.25">
      <c r="A1171" t="s">
        <v>1425</v>
      </c>
      <c r="B1171" t="str">
        <f t="shared" si="36"/>
        <v>p__Bacteroidota</v>
      </c>
      <c r="C1171" s="1">
        <v>10</v>
      </c>
      <c r="D1171" s="3">
        <v>3003764</v>
      </c>
      <c r="E1171" s="3">
        <f t="shared" si="37"/>
        <v>3.0037639999999999</v>
      </c>
      <c r="F1171" s="1">
        <v>90266</v>
      </c>
      <c r="G1171" s="2">
        <v>300376.40000000002</v>
      </c>
      <c r="H1171" s="1">
        <v>645445</v>
      </c>
      <c r="M1171" t="s">
        <v>1425</v>
      </c>
      <c r="N1171" t="s">
        <v>1594</v>
      </c>
    </row>
    <row r="1172" spans="1:14" x14ac:dyDescent="0.25">
      <c r="A1172" t="s">
        <v>1426</v>
      </c>
      <c r="B1172" t="str">
        <f t="shared" si="36"/>
        <v>p__Bacteroidota</v>
      </c>
      <c r="C1172" s="1">
        <v>18</v>
      </c>
      <c r="D1172" s="3">
        <v>5557065</v>
      </c>
      <c r="E1172" s="3">
        <f t="shared" si="37"/>
        <v>5.5570649999999997</v>
      </c>
      <c r="F1172" s="1">
        <v>67907</v>
      </c>
      <c r="G1172" s="2">
        <v>308725.8</v>
      </c>
      <c r="H1172" s="1">
        <v>935545</v>
      </c>
      <c r="M1172" t="s">
        <v>1426</v>
      </c>
      <c r="N1172" t="s">
        <v>1594</v>
      </c>
    </row>
    <row r="1173" spans="1:14" x14ac:dyDescent="0.25">
      <c r="A1173" t="s">
        <v>1427</v>
      </c>
      <c r="B1173" t="str">
        <f t="shared" si="36"/>
        <v>p__Bacteroidota</v>
      </c>
      <c r="C1173" s="1">
        <v>8</v>
      </c>
      <c r="D1173" s="3">
        <v>3412747</v>
      </c>
      <c r="E1173" s="3">
        <f t="shared" si="37"/>
        <v>3.412747</v>
      </c>
      <c r="F1173" s="1">
        <v>59960</v>
      </c>
      <c r="G1173" s="2">
        <v>426593.4</v>
      </c>
      <c r="H1173" s="1">
        <v>995148</v>
      </c>
      <c r="M1173" t="s">
        <v>1427</v>
      </c>
      <c r="N1173" t="s">
        <v>1594</v>
      </c>
    </row>
    <row r="1174" spans="1:14" x14ac:dyDescent="0.25">
      <c r="A1174" t="s">
        <v>1428</v>
      </c>
      <c r="B1174" t="str">
        <f t="shared" si="36"/>
        <v>p__Bacteroidota</v>
      </c>
      <c r="C1174" s="1">
        <v>38</v>
      </c>
      <c r="D1174" s="3">
        <v>3716138</v>
      </c>
      <c r="E1174" s="3">
        <f t="shared" si="37"/>
        <v>3.7161379999999999</v>
      </c>
      <c r="F1174" s="1">
        <v>2285</v>
      </c>
      <c r="G1174" s="2">
        <v>97793.1</v>
      </c>
      <c r="H1174" s="1">
        <v>638059</v>
      </c>
      <c r="M1174" t="s">
        <v>1428</v>
      </c>
      <c r="N1174" t="s">
        <v>1594</v>
      </c>
    </row>
    <row r="1175" spans="1:14" x14ac:dyDescent="0.25">
      <c r="A1175" t="s">
        <v>1429</v>
      </c>
      <c r="B1175" t="str">
        <f t="shared" si="36"/>
        <v>p__Bacteroidota</v>
      </c>
      <c r="C1175" s="1">
        <v>44</v>
      </c>
      <c r="D1175" s="3">
        <v>4075310</v>
      </c>
      <c r="E1175" s="3">
        <f t="shared" si="37"/>
        <v>4.07531</v>
      </c>
      <c r="F1175" s="1">
        <v>2651</v>
      </c>
      <c r="G1175" s="2">
        <v>92620.7</v>
      </c>
      <c r="H1175" s="1">
        <v>463739</v>
      </c>
      <c r="M1175" t="s">
        <v>1429</v>
      </c>
      <c r="N1175" t="s">
        <v>1594</v>
      </c>
    </row>
    <row r="1176" spans="1:14" x14ac:dyDescent="0.25">
      <c r="A1176" t="s">
        <v>1430</v>
      </c>
      <c r="B1176" t="str">
        <f t="shared" si="36"/>
        <v>p__Bacteroidota</v>
      </c>
      <c r="C1176" s="1">
        <v>7</v>
      </c>
      <c r="D1176" s="3">
        <v>5473222</v>
      </c>
      <c r="E1176" s="3">
        <f t="shared" si="37"/>
        <v>5.4732219999999998</v>
      </c>
      <c r="F1176" s="1">
        <v>22391</v>
      </c>
      <c r="G1176" s="2">
        <v>781888.9</v>
      </c>
      <c r="H1176" s="1">
        <v>1904184</v>
      </c>
      <c r="M1176" t="s">
        <v>1430</v>
      </c>
      <c r="N1176" t="s">
        <v>1594</v>
      </c>
    </row>
    <row r="1177" spans="1:14" x14ac:dyDescent="0.25">
      <c r="A1177" t="s">
        <v>1431</v>
      </c>
      <c r="B1177" t="str">
        <f t="shared" si="36"/>
        <v>p__Bacteroidota</v>
      </c>
      <c r="C1177" s="1">
        <v>18</v>
      </c>
      <c r="D1177" s="3">
        <v>4545062</v>
      </c>
      <c r="E1177" s="3">
        <f t="shared" si="37"/>
        <v>4.5450619999999997</v>
      </c>
      <c r="F1177" s="1">
        <v>52469</v>
      </c>
      <c r="G1177" s="2">
        <v>252503.4</v>
      </c>
      <c r="H1177" s="1">
        <v>847162</v>
      </c>
      <c r="M1177" t="s">
        <v>1431</v>
      </c>
      <c r="N1177" t="s">
        <v>1594</v>
      </c>
    </row>
    <row r="1178" spans="1:14" x14ac:dyDescent="0.25">
      <c r="A1178" t="s">
        <v>1432</v>
      </c>
      <c r="B1178" t="str">
        <f t="shared" si="36"/>
        <v>p__Bacteroidota</v>
      </c>
      <c r="C1178" s="1">
        <v>16</v>
      </c>
      <c r="D1178" s="3">
        <v>4228445</v>
      </c>
      <c r="E1178" s="3">
        <f t="shared" si="37"/>
        <v>4.2284449999999998</v>
      </c>
      <c r="F1178" s="1">
        <v>2045</v>
      </c>
      <c r="G1178" s="2">
        <v>264277.8</v>
      </c>
      <c r="H1178" s="1">
        <v>1371990</v>
      </c>
      <c r="M1178" t="s">
        <v>1432</v>
      </c>
      <c r="N1178" t="s">
        <v>1594</v>
      </c>
    </row>
    <row r="1179" spans="1:14" x14ac:dyDescent="0.25">
      <c r="A1179" t="s">
        <v>1433</v>
      </c>
      <c r="B1179" t="str">
        <f t="shared" si="36"/>
        <v>p__Bacteroidota</v>
      </c>
      <c r="C1179" s="1">
        <v>9</v>
      </c>
      <c r="D1179" s="3">
        <v>2458696</v>
      </c>
      <c r="E1179" s="3">
        <f t="shared" si="37"/>
        <v>2.4586960000000002</v>
      </c>
      <c r="F1179" s="1">
        <v>49688</v>
      </c>
      <c r="G1179" s="2">
        <v>273188.40000000002</v>
      </c>
      <c r="H1179" s="1">
        <v>736040</v>
      </c>
      <c r="M1179" t="s">
        <v>1433</v>
      </c>
      <c r="N1179" t="s">
        <v>1594</v>
      </c>
    </row>
    <row r="1180" spans="1:14" x14ac:dyDescent="0.25">
      <c r="A1180" t="s">
        <v>1434</v>
      </c>
      <c r="B1180" t="str">
        <f t="shared" si="36"/>
        <v>p__Bacteroidota</v>
      </c>
      <c r="C1180" s="1">
        <v>8</v>
      </c>
      <c r="D1180" s="3">
        <v>4411638</v>
      </c>
      <c r="E1180" s="3">
        <f t="shared" si="37"/>
        <v>4.4116379999999999</v>
      </c>
      <c r="F1180" s="1">
        <v>31943</v>
      </c>
      <c r="G1180" s="2">
        <v>551454.80000000005</v>
      </c>
      <c r="H1180" s="1">
        <v>2148633</v>
      </c>
      <c r="M1180" t="s">
        <v>1434</v>
      </c>
      <c r="N1180" t="s">
        <v>1594</v>
      </c>
    </row>
    <row r="1181" spans="1:14" x14ac:dyDescent="0.25">
      <c r="A1181" t="s">
        <v>1435</v>
      </c>
      <c r="B1181" t="str">
        <f t="shared" si="36"/>
        <v>p__Bacteroidota</v>
      </c>
      <c r="C1181" s="1">
        <v>41</v>
      </c>
      <c r="D1181" s="3">
        <v>3536533</v>
      </c>
      <c r="E1181" s="3">
        <f t="shared" si="37"/>
        <v>3.5365329999999999</v>
      </c>
      <c r="F1181" s="1">
        <v>5267</v>
      </c>
      <c r="G1181" s="2">
        <v>86256.9</v>
      </c>
      <c r="H1181" s="1">
        <v>439265</v>
      </c>
      <c r="M1181" t="s">
        <v>1435</v>
      </c>
      <c r="N1181" t="s">
        <v>1594</v>
      </c>
    </row>
    <row r="1182" spans="1:14" x14ac:dyDescent="0.25">
      <c r="A1182" t="s">
        <v>1436</v>
      </c>
      <c r="B1182" t="str">
        <f t="shared" si="36"/>
        <v>p__Bacteroidota</v>
      </c>
      <c r="C1182" s="1">
        <v>30</v>
      </c>
      <c r="D1182" s="3">
        <v>3449136</v>
      </c>
      <c r="E1182" s="3">
        <f t="shared" si="37"/>
        <v>3.4491360000000002</v>
      </c>
      <c r="F1182" s="1">
        <v>5458</v>
      </c>
      <c r="G1182" s="2">
        <v>114971.2</v>
      </c>
      <c r="H1182" s="1">
        <v>339837</v>
      </c>
      <c r="M1182" t="s">
        <v>1436</v>
      </c>
      <c r="N1182" t="s">
        <v>1594</v>
      </c>
    </row>
    <row r="1183" spans="1:14" x14ac:dyDescent="0.25">
      <c r="A1183" t="s">
        <v>1437</v>
      </c>
      <c r="B1183" t="str">
        <f t="shared" si="36"/>
        <v>p__Bacteroidota</v>
      </c>
      <c r="C1183" s="1">
        <v>19</v>
      </c>
      <c r="D1183" s="3">
        <v>4040361</v>
      </c>
      <c r="E1183" s="3">
        <f t="shared" si="37"/>
        <v>4.0403609999999999</v>
      </c>
      <c r="F1183" s="1">
        <v>7326</v>
      </c>
      <c r="G1183" s="2">
        <v>212650.6</v>
      </c>
      <c r="H1183" s="1">
        <v>1047119</v>
      </c>
      <c r="M1183" t="s">
        <v>1437</v>
      </c>
      <c r="N1183" t="s">
        <v>1594</v>
      </c>
    </row>
    <row r="1184" spans="1:14" x14ac:dyDescent="0.25">
      <c r="A1184" t="s">
        <v>1438</v>
      </c>
      <c r="B1184" t="str">
        <f t="shared" si="36"/>
        <v>p__Bacteroidota</v>
      </c>
      <c r="C1184" s="1">
        <v>25</v>
      </c>
      <c r="D1184" s="3">
        <v>6096567</v>
      </c>
      <c r="E1184" s="3">
        <f t="shared" si="37"/>
        <v>6.0965670000000003</v>
      </c>
      <c r="F1184" s="1">
        <v>3981</v>
      </c>
      <c r="G1184" s="2">
        <v>243862.7</v>
      </c>
      <c r="H1184" s="1">
        <v>1344926</v>
      </c>
      <c r="M1184" t="s">
        <v>1438</v>
      </c>
      <c r="N1184" t="s">
        <v>1594</v>
      </c>
    </row>
    <row r="1185" spans="1:14" x14ac:dyDescent="0.25">
      <c r="A1185" t="s">
        <v>1439</v>
      </c>
      <c r="B1185" t="str">
        <f t="shared" si="36"/>
        <v>p__Bacteroidota</v>
      </c>
      <c r="C1185" s="1">
        <v>45</v>
      </c>
      <c r="D1185" s="3">
        <v>4950767</v>
      </c>
      <c r="E1185" s="3">
        <f t="shared" si="37"/>
        <v>4.9507669999999999</v>
      </c>
      <c r="F1185" s="1">
        <v>5147</v>
      </c>
      <c r="G1185" s="1">
        <v>110017</v>
      </c>
      <c r="H1185" s="1">
        <v>674958</v>
      </c>
      <c r="M1185" t="s">
        <v>1439</v>
      </c>
      <c r="N1185" t="s">
        <v>1594</v>
      </c>
    </row>
    <row r="1186" spans="1:14" x14ac:dyDescent="0.25">
      <c r="A1186" t="s">
        <v>1440</v>
      </c>
      <c r="B1186" t="str">
        <f t="shared" si="36"/>
        <v>p__Bacteroidota</v>
      </c>
      <c r="C1186" s="1">
        <v>31</v>
      </c>
      <c r="D1186" s="3">
        <v>5142940</v>
      </c>
      <c r="E1186" s="3">
        <f t="shared" si="37"/>
        <v>5.1429400000000003</v>
      </c>
      <c r="F1186" s="1">
        <v>3021</v>
      </c>
      <c r="G1186" s="2">
        <v>165901.29999999999</v>
      </c>
      <c r="H1186" s="1">
        <v>906475</v>
      </c>
      <c r="M1186" t="s">
        <v>1440</v>
      </c>
      <c r="N1186" t="s">
        <v>1594</v>
      </c>
    </row>
    <row r="1187" spans="1:14" x14ac:dyDescent="0.25">
      <c r="A1187" t="s">
        <v>1441</v>
      </c>
      <c r="B1187" t="str">
        <f t="shared" si="36"/>
        <v>p__Bacteroidota</v>
      </c>
      <c r="C1187" s="1">
        <v>139</v>
      </c>
      <c r="D1187" s="3">
        <v>2868404</v>
      </c>
      <c r="E1187" s="3">
        <f t="shared" si="37"/>
        <v>2.868404</v>
      </c>
      <c r="F1187" s="1">
        <v>2012</v>
      </c>
      <c r="G1187" s="1">
        <v>20636</v>
      </c>
      <c r="H1187" s="1">
        <v>111132</v>
      </c>
      <c r="M1187" t="s">
        <v>1441</v>
      </c>
      <c r="N1187" t="s">
        <v>1594</v>
      </c>
    </row>
    <row r="1188" spans="1:14" x14ac:dyDescent="0.25">
      <c r="A1188" t="s">
        <v>1442</v>
      </c>
      <c r="B1188" t="str">
        <f t="shared" si="36"/>
        <v>p__Bacteroidota</v>
      </c>
      <c r="C1188" s="1">
        <v>61</v>
      </c>
      <c r="D1188" s="3">
        <v>3567840</v>
      </c>
      <c r="E1188" s="3">
        <f t="shared" si="37"/>
        <v>3.5678399999999999</v>
      </c>
      <c r="F1188" s="1">
        <v>5850</v>
      </c>
      <c r="G1188" s="2">
        <v>58489.2</v>
      </c>
      <c r="H1188" s="1">
        <v>279287</v>
      </c>
      <c r="M1188" t="s">
        <v>1442</v>
      </c>
      <c r="N1188" t="s">
        <v>1594</v>
      </c>
    </row>
    <row r="1189" spans="1:14" x14ac:dyDescent="0.25">
      <c r="A1189" t="s">
        <v>1443</v>
      </c>
      <c r="B1189" t="str">
        <f t="shared" si="36"/>
        <v>p__Bacteroidota</v>
      </c>
      <c r="C1189" s="1">
        <v>162</v>
      </c>
      <c r="D1189" s="3">
        <v>5182949</v>
      </c>
      <c r="E1189" s="3">
        <f t="shared" si="37"/>
        <v>5.1829489999999998</v>
      </c>
      <c r="F1189" s="2">
        <v>2008</v>
      </c>
      <c r="G1189" s="1">
        <v>31993.5</v>
      </c>
      <c r="H1189" s="1">
        <v>344436</v>
      </c>
      <c r="M1189" t="s">
        <v>1443</v>
      </c>
      <c r="N1189" t="s">
        <v>1594</v>
      </c>
    </row>
    <row r="1190" spans="1:14" x14ac:dyDescent="0.25">
      <c r="A1190" t="s">
        <v>1444</v>
      </c>
      <c r="B1190" t="str">
        <f t="shared" si="36"/>
        <v>p__Bacteroidota</v>
      </c>
      <c r="C1190" s="1">
        <v>12</v>
      </c>
      <c r="D1190" s="3">
        <v>3073320</v>
      </c>
      <c r="E1190" s="3">
        <f t="shared" si="37"/>
        <v>3.0733199999999998</v>
      </c>
      <c r="F1190" s="1">
        <v>9970</v>
      </c>
      <c r="G1190" s="1">
        <v>256110</v>
      </c>
      <c r="H1190" s="1">
        <v>1084804</v>
      </c>
      <c r="M1190" t="s">
        <v>1444</v>
      </c>
      <c r="N1190" t="s">
        <v>1594</v>
      </c>
    </row>
    <row r="1191" spans="1:14" x14ac:dyDescent="0.25">
      <c r="A1191" t="s">
        <v>1445</v>
      </c>
      <c r="B1191" t="str">
        <f t="shared" si="36"/>
        <v>p__Bacteroidota</v>
      </c>
      <c r="C1191" s="1">
        <v>6</v>
      </c>
      <c r="D1191" s="3">
        <v>3210052</v>
      </c>
      <c r="E1191" s="3">
        <f t="shared" si="37"/>
        <v>3.2100520000000001</v>
      </c>
      <c r="F1191" s="1">
        <v>2138</v>
      </c>
      <c r="G1191" s="2">
        <v>535008.69999999995</v>
      </c>
      <c r="H1191" s="1">
        <v>1578536</v>
      </c>
      <c r="M1191" t="s">
        <v>1445</v>
      </c>
      <c r="N1191" t="s">
        <v>1594</v>
      </c>
    </row>
    <row r="1192" spans="1:14" x14ac:dyDescent="0.25">
      <c r="A1192" t="s">
        <v>1446</v>
      </c>
      <c r="B1192" t="str">
        <f t="shared" si="36"/>
        <v>p__Bacteroidota</v>
      </c>
      <c r="C1192" s="1">
        <v>30</v>
      </c>
      <c r="D1192" s="3">
        <v>2795518</v>
      </c>
      <c r="E1192" s="3">
        <f t="shared" si="37"/>
        <v>2.7955179999999999</v>
      </c>
      <c r="F1192" s="1">
        <v>6093</v>
      </c>
      <c r="G1192" s="2">
        <v>93183.9</v>
      </c>
      <c r="H1192" s="1">
        <v>399867</v>
      </c>
      <c r="M1192" t="s">
        <v>1446</v>
      </c>
      <c r="N1192" t="s">
        <v>1594</v>
      </c>
    </row>
    <row r="1193" spans="1:14" x14ac:dyDescent="0.25">
      <c r="A1193" t="s">
        <v>1447</v>
      </c>
      <c r="B1193" t="str">
        <f t="shared" si="36"/>
        <v>p__Bacteroidota</v>
      </c>
      <c r="C1193" s="1">
        <v>74</v>
      </c>
      <c r="D1193" s="3">
        <v>3873535</v>
      </c>
      <c r="E1193" s="3">
        <f t="shared" si="37"/>
        <v>3.873535</v>
      </c>
      <c r="F1193" s="1">
        <v>2248</v>
      </c>
      <c r="G1193" s="2">
        <v>52345.1</v>
      </c>
      <c r="H1193" s="1">
        <v>386560</v>
      </c>
      <c r="M1193" t="s">
        <v>1447</v>
      </c>
      <c r="N1193" t="s">
        <v>1594</v>
      </c>
    </row>
    <row r="1194" spans="1:14" x14ac:dyDescent="0.25">
      <c r="A1194" t="s">
        <v>1448</v>
      </c>
      <c r="B1194" t="str">
        <f t="shared" si="36"/>
        <v>p__Bacteroidota</v>
      </c>
      <c r="C1194" s="1">
        <v>28</v>
      </c>
      <c r="D1194" s="3">
        <v>3209754</v>
      </c>
      <c r="E1194" s="3">
        <f t="shared" si="37"/>
        <v>3.2097540000000002</v>
      </c>
      <c r="F1194" s="1">
        <v>6313</v>
      </c>
      <c r="G1194" s="2">
        <v>114634.1</v>
      </c>
      <c r="H1194" s="1">
        <v>847742</v>
      </c>
      <c r="M1194" t="s">
        <v>1448</v>
      </c>
      <c r="N1194" t="s">
        <v>1594</v>
      </c>
    </row>
    <row r="1195" spans="1:14" x14ac:dyDescent="0.25">
      <c r="A1195" t="s">
        <v>1449</v>
      </c>
      <c r="B1195" t="str">
        <f t="shared" si="36"/>
        <v>p__Bacteroidota</v>
      </c>
      <c r="C1195" s="1">
        <v>23</v>
      </c>
      <c r="D1195" s="3">
        <v>1891710</v>
      </c>
      <c r="E1195" s="3">
        <f t="shared" si="37"/>
        <v>1.89171</v>
      </c>
      <c r="F1195" s="1">
        <v>10473</v>
      </c>
      <c r="G1195" s="2">
        <v>82248.3</v>
      </c>
      <c r="H1195" s="1">
        <v>259019</v>
      </c>
      <c r="M1195" t="s">
        <v>1449</v>
      </c>
      <c r="N1195" t="s">
        <v>1594</v>
      </c>
    </row>
    <row r="1196" spans="1:14" x14ac:dyDescent="0.25">
      <c r="A1196" t="s">
        <v>1450</v>
      </c>
      <c r="B1196" t="str">
        <f t="shared" si="36"/>
        <v>p__Bacteroidota</v>
      </c>
      <c r="C1196" s="1">
        <v>11</v>
      </c>
      <c r="D1196" s="3">
        <v>3040085</v>
      </c>
      <c r="E1196" s="3">
        <f t="shared" si="37"/>
        <v>3.0400849999999999</v>
      </c>
      <c r="F1196" s="1">
        <v>12789</v>
      </c>
      <c r="G1196" s="2">
        <v>276371.40000000002</v>
      </c>
      <c r="H1196" s="1">
        <v>770724</v>
      </c>
      <c r="M1196" t="s">
        <v>1450</v>
      </c>
      <c r="N1196" t="s">
        <v>1594</v>
      </c>
    </row>
    <row r="1197" spans="1:14" x14ac:dyDescent="0.25">
      <c r="A1197" t="s">
        <v>1451</v>
      </c>
      <c r="B1197" t="str">
        <f t="shared" si="36"/>
        <v>p__Bacteroidota</v>
      </c>
      <c r="C1197" s="1">
        <v>58</v>
      </c>
      <c r="D1197" s="3">
        <v>2689615</v>
      </c>
      <c r="E1197" s="3">
        <f t="shared" si="37"/>
        <v>2.6896149999999999</v>
      </c>
      <c r="F1197" s="1">
        <v>2135</v>
      </c>
      <c r="G1197" s="2">
        <v>46372.7</v>
      </c>
      <c r="H1197" s="1">
        <v>287885</v>
      </c>
      <c r="M1197" t="s">
        <v>1451</v>
      </c>
      <c r="N1197" t="s">
        <v>1594</v>
      </c>
    </row>
    <row r="1198" spans="1:14" x14ac:dyDescent="0.25">
      <c r="A1198" t="s">
        <v>1452</v>
      </c>
      <c r="B1198" t="str">
        <f t="shared" si="36"/>
        <v>p__Bacteroidota</v>
      </c>
      <c r="C1198" s="1">
        <v>43</v>
      </c>
      <c r="D1198" s="3">
        <v>2686911</v>
      </c>
      <c r="E1198" s="3">
        <f t="shared" si="37"/>
        <v>2.6869109999999998</v>
      </c>
      <c r="F1198" s="1">
        <v>2085</v>
      </c>
      <c r="G1198" s="2">
        <v>62486.3</v>
      </c>
      <c r="H1198" s="1">
        <v>290145</v>
      </c>
      <c r="M1198" t="s">
        <v>1452</v>
      </c>
      <c r="N1198" t="s">
        <v>1594</v>
      </c>
    </row>
    <row r="1199" spans="1:14" x14ac:dyDescent="0.25">
      <c r="A1199" t="s">
        <v>1453</v>
      </c>
      <c r="B1199" t="str">
        <f t="shared" si="36"/>
        <v>p__Bacteroidota</v>
      </c>
      <c r="C1199" s="1">
        <v>13</v>
      </c>
      <c r="D1199" s="3">
        <v>2586050</v>
      </c>
      <c r="E1199" s="3">
        <f t="shared" si="37"/>
        <v>2.5860500000000002</v>
      </c>
      <c r="F1199" s="1">
        <v>2276</v>
      </c>
      <c r="G1199" s="2">
        <v>198926.9</v>
      </c>
      <c r="H1199" s="1">
        <v>1142541</v>
      </c>
      <c r="M1199" t="s">
        <v>1453</v>
      </c>
      <c r="N1199" t="s">
        <v>1594</v>
      </c>
    </row>
    <row r="1200" spans="1:14" x14ac:dyDescent="0.25">
      <c r="A1200" t="s">
        <v>1454</v>
      </c>
      <c r="B1200" t="str">
        <f t="shared" si="36"/>
        <v>p__Bacteroidota</v>
      </c>
      <c r="C1200" s="1">
        <v>1</v>
      </c>
      <c r="D1200" s="3">
        <v>2365078</v>
      </c>
      <c r="E1200" s="3">
        <f t="shared" si="37"/>
        <v>2.365078</v>
      </c>
      <c r="F1200" s="1">
        <v>2365078</v>
      </c>
      <c r="G1200" s="1">
        <v>2365078</v>
      </c>
      <c r="H1200" s="1">
        <v>2365078</v>
      </c>
      <c r="M1200" t="s">
        <v>1454</v>
      </c>
      <c r="N1200" t="s">
        <v>1594</v>
      </c>
    </row>
    <row r="1201" spans="1:14" x14ac:dyDescent="0.25">
      <c r="A1201" t="s">
        <v>1455</v>
      </c>
      <c r="B1201" t="str">
        <f t="shared" si="36"/>
        <v>p__Bacteroidota</v>
      </c>
      <c r="C1201" s="1">
        <v>22</v>
      </c>
      <c r="D1201" s="3">
        <v>3319314</v>
      </c>
      <c r="E1201" s="3">
        <f t="shared" si="37"/>
        <v>3.3193139999999999</v>
      </c>
      <c r="F1201" s="1">
        <v>7653</v>
      </c>
      <c r="G1201" s="2">
        <v>150877.9</v>
      </c>
      <c r="H1201" s="1">
        <v>958164</v>
      </c>
      <c r="M1201" t="s">
        <v>1455</v>
      </c>
      <c r="N1201" t="s">
        <v>1594</v>
      </c>
    </row>
    <row r="1202" spans="1:14" x14ac:dyDescent="0.25">
      <c r="A1202" t="s">
        <v>1456</v>
      </c>
      <c r="B1202" t="str">
        <f t="shared" si="36"/>
        <v>p__Bacteroidota</v>
      </c>
      <c r="C1202" s="1">
        <v>11</v>
      </c>
      <c r="D1202" s="3">
        <v>2981583</v>
      </c>
      <c r="E1202" s="3">
        <f t="shared" si="37"/>
        <v>2.9815830000000001</v>
      </c>
      <c r="F1202" s="1">
        <v>8885</v>
      </c>
      <c r="G1202" s="1">
        <v>271053</v>
      </c>
      <c r="H1202" s="1">
        <v>710780</v>
      </c>
      <c r="M1202" t="s">
        <v>1456</v>
      </c>
      <c r="N1202" t="s">
        <v>1594</v>
      </c>
    </row>
    <row r="1203" spans="1:14" x14ac:dyDescent="0.25">
      <c r="A1203" t="s">
        <v>1457</v>
      </c>
      <c r="B1203" t="str">
        <f t="shared" si="36"/>
        <v>p__Bacteroidota</v>
      </c>
      <c r="C1203" s="1">
        <v>7</v>
      </c>
      <c r="D1203" s="3">
        <v>2534320</v>
      </c>
      <c r="E1203" s="3">
        <f t="shared" si="37"/>
        <v>2.5343200000000001</v>
      </c>
      <c r="F1203" s="1">
        <v>2911</v>
      </c>
      <c r="G1203" s="2">
        <v>362045.7</v>
      </c>
      <c r="H1203" s="1">
        <v>1321486</v>
      </c>
      <c r="M1203" t="s">
        <v>1457</v>
      </c>
      <c r="N1203" t="s">
        <v>1594</v>
      </c>
    </row>
    <row r="1204" spans="1:14" x14ac:dyDescent="0.25">
      <c r="A1204" t="s">
        <v>1458</v>
      </c>
      <c r="B1204" t="str">
        <f t="shared" si="36"/>
        <v>p__Bacteroidota</v>
      </c>
      <c r="C1204" s="1">
        <v>16</v>
      </c>
      <c r="D1204" s="3">
        <v>2021789</v>
      </c>
      <c r="E1204" s="3">
        <f t="shared" si="37"/>
        <v>2.0217890000000001</v>
      </c>
      <c r="F1204" s="1">
        <v>2791</v>
      </c>
      <c r="G1204" s="2">
        <v>126361.8</v>
      </c>
      <c r="H1204" s="1">
        <v>561003</v>
      </c>
      <c r="M1204" t="s">
        <v>1458</v>
      </c>
      <c r="N1204" t="s">
        <v>1594</v>
      </c>
    </row>
    <row r="1205" spans="1:14" x14ac:dyDescent="0.25">
      <c r="A1205" t="s">
        <v>1459</v>
      </c>
      <c r="B1205" t="str">
        <f t="shared" si="36"/>
        <v>p__Bacteroidota</v>
      </c>
      <c r="C1205" s="1">
        <v>2</v>
      </c>
      <c r="D1205" s="3">
        <v>3088658</v>
      </c>
      <c r="E1205" s="3">
        <f t="shared" si="37"/>
        <v>3.0886580000000001</v>
      </c>
      <c r="F1205" s="1">
        <v>564654</v>
      </c>
      <c r="G1205" s="1">
        <v>1544329</v>
      </c>
      <c r="H1205" s="1">
        <v>2524004</v>
      </c>
      <c r="M1205" t="s">
        <v>1459</v>
      </c>
      <c r="N1205" t="s">
        <v>1594</v>
      </c>
    </row>
    <row r="1206" spans="1:14" x14ac:dyDescent="0.25">
      <c r="A1206" t="s">
        <v>1460</v>
      </c>
      <c r="B1206" t="str">
        <f t="shared" si="36"/>
        <v>p__Bacteroidota</v>
      </c>
      <c r="C1206" s="1">
        <v>14</v>
      </c>
      <c r="D1206" s="3">
        <v>3528078</v>
      </c>
      <c r="E1206" s="3">
        <f t="shared" si="37"/>
        <v>3.5280779999999998</v>
      </c>
      <c r="F1206" s="1">
        <v>2020</v>
      </c>
      <c r="G1206" s="2">
        <v>252005.6</v>
      </c>
      <c r="H1206" s="1">
        <v>1451134</v>
      </c>
      <c r="M1206" t="s">
        <v>1460</v>
      </c>
      <c r="N1206" t="s">
        <v>1594</v>
      </c>
    </row>
    <row r="1207" spans="1:14" x14ac:dyDescent="0.25">
      <c r="A1207" t="s">
        <v>1461</v>
      </c>
      <c r="B1207" t="str">
        <f t="shared" si="36"/>
        <v>p__Bacteroidota</v>
      </c>
      <c r="C1207" s="1">
        <v>4</v>
      </c>
      <c r="D1207" s="3">
        <v>2870304</v>
      </c>
      <c r="E1207" s="3">
        <f t="shared" si="37"/>
        <v>2.870304</v>
      </c>
      <c r="F1207" s="1">
        <v>2398</v>
      </c>
      <c r="G1207" s="1">
        <v>717576</v>
      </c>
      <c r="H1207" s="1">
        <v>1823990</v>
      </c>
      <c r="M1207" t="s">
        <v>1461</v>
      </c>
      <c r="N1207" t="s">
        <v>1594</v>
      </c>
    </row>
    <row r="1208" spans="1:14" x14ac:dyDescent="0.25">
      <c r="A1208" t="s">
        <v>1462</v>
      </c>
      <c r="B1208" t="str">
        <f t="shared" si="36"/>
        <v>p__Bacteroidota</v>
      </c>
      <c r="C1208" s="1">
        <v>38</v>
      </c>
      <c r="D1208" s="3">
        <v>2314244</v>
      </c>
      <c r="E1208" s="3">
        <f t="shared" si="37"/>
        <v>2.314244</v>
      </c>
      <c r="F1208" s="1">
        <v>6490</v>
      </c>
      <c r="G1208" s="2">
        <v>60901.2</v>
      </c>
      <c r="H1208" s="1">
        <v>351955</v>
      </c>
      <c r="M1208" t="s">
        <v>1462</v>
      </c>
      <c r="N1208" t="s">
        <v>1594</v>
      </c>
    </row>
    <row r="1209" spans="1:14" x14ac:dyDescent="0.25">
      <c r="A1209" t="s">
        <v>1463</v>
      </c>
      <c r="B1209" t="str">
        <f t="shared" si="36"/>
        <v>p__Bacteroidota</v>
      </c>
      <c r="C1209" s="1">
        <v>14</v>
      </c>
      <c r="D1209" s="3">
        <v>2096780</v>
      </c>
      <c r="E1209" s="3">
        <f t="shared" si="37"/>
        <v>2.0967799999999999</v>
      </c>
      <c r="F1209" s="1">
        <v>12432</v>
      </c>
      <c r="G1209" s="1">
        <v>149770</v>
      </c>
      <c r="H1209" s="1">
        <v>920688</v>
      </c>
      <c r="M1209" t="s">
        <v>1463</v>
      </c>
      <c r="N1209" t="s">
        <v>1594</v>
      </c>
    </row>
    <row r="1210" spans="1:14" x14ac:dyDescent="0.25">
      <c r="A1210" t="s">
        <v>1464</v>
      </c>
      <c r="B1210" t="str">
        <f t="shared" si="36"/>
        <v>p__Bacteroidota</v>
      </c>
      <c r="C1210" s="1">
        <v>10</v>
      </c>
      <c r="D1210" s="3">
        <v>3151489</v>
      </c>
      <c r="E1210" s="3">
        <f t="shared" si="37"/>
        <v>3.1514890000000002</v>
      </c>
      <c r="F1210" s="1">
        <v>5688</v>
      </c>
      <c r="G1210" s="2">
        <v>315148.90000000002</v>
      </c>
      <c r="H1210" s="1">
        <v>757666</v>
      </c>
      <c r="M1210" t="s">
        <v>1464</v>
      </c>
      <c r="N1210" t="s">
        <v>1594</v>
      </c>
    </row>
    <row r="1211" spans="1:14" x14ac:dyDescent="0.25">
      <c r="A1211" t="s">
        <v>1465</v>
      </c>
      <c r="B1211" t="str">
        <f t="shared" si="36"/>
        <v>p__Bacteroidota</v>
      </c>
      <c r="C1211" s="1">
        <v>332</v>
      </c>
      <c r="D1211" s="3">
        <v>2620690</v>
      </c>
      <c r="E1211" s="3">
        <f t="shared" si="37"/>
        <v>2.6206900000000002</v>
      </c>
      <c r="F1211" s="2">
        <v>2026</v>
      </c>
      <c r="G1211" s="1">
        <v>7893.6</v>
      </c>
      <c r="H1211" s="1">
        <v>130700</v>
      </c>
      <c r="M1211" t="s">
        <v>1465</v>
      </c>
      <c r="N1211" t="s">
        <v>1594</v>
      </c>
    </row>
    <row r="1212" spans="1:14" x14ac:dyDescent="0.25">
      <c r="A1212" t="s">
        <v>1466</v>
      </c>
      <c r="B1212" t="str">
        <f t="shared" si="36"/>
        <v>p__Bacteroidota</v>
      </c>
      <c r="C1212" s="1">
        <v>10</v>
      </c>
      <c r="D1212" s="3">
        <v>2077697</v>
      </c>
      <c r="E1212" s="3">
        <f t="shared" si="37"/>
        <v>2.0776970000000001</v>
      </c>
      <c r="F1212" s="1">
        <v>9418</v>
      </c>
      <c r="G1212" s="2">
        <v>207769.7</v>
      </c>
      <c r="H1212" s="1">
        <v>667883</v>
      </c>
      <c r="M1212" t="s">
        <v>1466</v>
      </c>
      <c r="N1212" t="s">
        <v>1594</v>
      </c>
    </row>
    <row r="1213" spans="1:14" x14ac:dyDescent="0.25">
      <c r="A1213" t="s">
        <v>1467</v>
      </c>
      <c r="B1213" t="str">
        <f t="shared" si="36"/>
        <v>p__Bacteroidota</v>
      </c>
      <c r="C1213" s="1">
        <v>14</v>
      </c>
      <c r="D1213" s="3">
        <v>3227326</v>
      </c>
      <c r="E1213" s="3">
        <f t="shared" si="37"/>
        <v>3.2273260000000001</v>
      </c>
      <c r="F1213" s="1">
        <v>23776</v>
      </c>
      <c r="G1213" s="2">
        <v>230523.3</v>
      </c>
      <c r="H1213" s="1">
        <v>685824</v>
      </c>
      <c r="M1213" t="s">
        <v>1467</v>
      </c>
      <c r="N1213" t="s">
        <v>1594</v>
      </c>
    </row>
    <row r="1214" spans="1:14" x14ac:dyDescent="0.25">
      <c r="A1214" t="s">
        <v>590</v>
      </c>
      <c r="B1214" t="str">
        <f t="shared" si="36"/>
        <v>p__Bdellovibrionota</v>
      </c>
      <c r="C1214" s="1">
        <v>72</v>
      </c>
      <c r="D1214" s="3">
        <v>2047164</v>
      </c>
      <c r="E1214" s="3">
        <f t="shared" si="37"/>
        <v>2.047164</v>
      </c>
      <c r="F1214" s="1">
        <v>2533</v>
      </c>
      <c r="G1214" s="2">
        <v>28432.799999999999</v>
      </c>
      <c r="H1214" s="1">
        <v>200473</v>
      </c>
      <c r="M1214" t="s">
        <v>590</v>
      </c>
      <c r="N1214" t="s">
        <v>1595</v>
      </c>
    </row>
    <row r="1215" spans="1:14" x14ac:dyDescent="0.25">
      <c r="A1215" t="s">
        <v>1468</v>
      </c>
      <c r="B1215" t="str">
        <f t="shared" si="36"/>
        <v>p__Bdellovibrionota</v>
      </c>
      <c r="C1215" s="1">
        <v>89</v>
      </c>
      <c r="D1215" s="3">
        <v>2494879</v>
      </c>
      <c r="E1215" s="3">
        <f t="shared" si="37"/>
        <v>2.4948790000000001</v>
      </c>
      <c r="F1215" s="1">
        <v>2042</v>
      </c>
      <c r="G1215" s="2">
        <v>28032.3</v>
      </c>
      <c r="H1215" s="1">
        <v>169956</v>
      </c>
      <c r="M1215" t="s">
        <v>1468</v>
      </c>
      <c r="N1215" t="s">
        <v>1595</v>
      </c>
    </row>
    <row r="1216" spans="1:14" x14ac:dyDescent="0.25">
      <c r="A1216" t="s">
        <v>591</v>
      </c>
      <c r="B1216" t="str">
        <f t="shared" si="36"/>
        <v>p__Campylobacterota</v>
      </c>
      <c r="C1216" s="1">
        <v>8</v>
      </c>
      <c r="D1216" s="3">
        <v>1578194</v>
      </c>
      <c r="E1216" s="3">
        <f t="shared" si="37"/>
        <v>1.5781940000000001</v>
      </c>
      <c r="F1216" s="1">
        <v>45892</v>
      </c>
      <c r="G1216" s="2">
        <v>197274.3</v>
      </c>
      <c r="H1216" s="1">
        <v>579186</v>
      </c>
      <c r="M1216" t="s">
        <v>591</v>
      </c>
      <c r="N1216" t="s">
        <v>1596</v>
      </c>
    </row>
    <row r="1217" spans="1:14" x14ac:dyDescent="0.25">
      <c r="A1217" t="s">
        <v>592</v>
      </c>
      <c r="B1217" t="str">
        <f t="shared" si="36"/>
        <v>p__Campylobacterota</v>
      </c>
      <c r="C1217" s="1">
        <v>50</v>
      </c>
      <c r="D1217" s="3">
        <v>1585316</v>
      </c>
      <c r="E1217" s="3">
        <f t="shared" si="37"/>
        <v>1.5853159999999999</v>
      </c>
      <c r="F1217" s="1">
        <v>2341</v>
      </c>
      <c r="G1217" s="2">
        <v>31706.3</v>
      </c>
      <c r="H1217" s="1">
        <v>186574</v>
      </c>
      <c r="M1217" t="s">
        <v>592</v>
      </c>
      <c r="N1217" t="s">
        <v>1596</v>
      </c>
    </row>
    <row r="1218" spans="1:14" x14ac:dyDescent="0.25">
      <c r="A1218" t="s">
        <v>999</v>
      </c>
      <c r="B1218" t="str">
        <f t="shared" ref="B1218:B1281" si="38">VLOOKUP(A1218,M:N,2,FALSE)</f>
        <v>p__Campylobacterota</v>
      </c>
      <c r="C1218" s="1">
        <v>2</v>
      </c>
      <c r="D1218" s="3">
        <v>1895659</v>
      </c>
      <c r="E1218" s="3">
        <f t="shared" ref="E1218:E1281" si="39">D1218/1000000</f>
        <v>1.895659</v>
      </c>
      <c r="F1218" s="1">
        <v>663334</v>
      </c>
      <c r="G1218" s="2">
        <v>947829.5</v>
      </c>
      <c r="H1218" s="1">
        <v>1232325</v>
      </c>
      <c r="M1218" t="s">
        <v>999</v>
      </c>
      <c r="N1218" t="s">
        <v>1596</v>
      </c>
    </row>
    <row r="1219" spans="1:14" x14ac:dyDescent="0.25">
      <c r="A1219" t="s">
        <v>1000</v>
      </c>
      <c r="B1219" t="str">
        <f t="shared" si="38"/>
        <v>p__Campylobacterota</v>
      </c>
      <c r="C1219" s="1">
        <v>28</v>
      </c>
      <c r="D1219" s="3">
        <v>1326311</v>
      </c>
      <c r="E1219" s="3">
        <f t="shared" si="39"/>
        <v>1.326311</v>
      </c>
      <c r="F1219" s="1">
        <v>2162</v>
      </c>
      <c r="G1219" s="2">
        <v>47368.3</v>
      </c>
      <c r="H1219" s="1">
        <v>187910</v>
      </c>
      <c r="M1219" t="s">
        <v>1000</v>
      </c>
      <c r="N1219" t="s">
        <v>1596</v>
      </c>
    </row>
    <row r="1220" spans="1:14" x14ac:dyDescent="0.25">
      <c r="A1220" t="s">
        <v>1001</v>
      </c>
      <c r="B1220" t="str">
        <f t="shared" si="38"/>
        <v>p__Campylobacterota</v>
      </c>
      <c r="C1220" s="1">
        <v>24</v>
      </c>
      <c r="D1220" s="3">
        <v>920643</v>
      </c>
      <c r="E1220" s="3">
        <f t="shared" si="39"/>
        <v>0.92064299999999999</v>
      </c>
      <c r="F1220" s="1">
        <v>6057</v>
      </c>
      <c r="G1220" s="2">
        <v>38360.1</v>
      </c>
      <c r="H1220" s="1">
        <v>126537</v>
      </c>
      <c r="M1220" t="s">
        <v>1001</v>
      </c>
      <c r="N1220" t="s">
        <v>1596</v>
      </c>
    </row>
    <row r="1221" spans="1:14" x14ac:dyDescent="0.25">
      <c r="A1221" t="s">
        <v>1469</v>
      </c>
      <c r="B1221" t="str">
        <f t="shared" si="38"/>
        <v>p__Campylobacterota</v>
      </c>
      <c r="C1221" s="1">
        <v>204</v>
      </c>
      <c r="D1221" s="3">
        <v>1656713</v>
      </c>
      <c r="E1221" s="3">
        <f t="shared" si="39"/>
        <v>1.6567130000000001</v>
      </c>
      <c r="F1221" s="2">
        <v>2010</v>
      </c>
      <c r="G1221" s="1">
        <v>8121.1</v>
      </c>
      <c r="H1221" s="1">
        <v>138465</v>
      </c>
      <c r="M1221" t="s">
        <v>1469</v>
      </c>
      <c r="N1221" t="s">
        <v>1596</v>
      </c>
    </row>
    <row r="1222" spans="1:14" x14ac:dyDescent="0.25">
      <c r="A1222" t="s">
        <v>155</v>
      </c>
      <c r="B1222" t="str">
        <f t="shared" si="38"/>
        <v>p__Cyanobacteriota</v>
      </c>
      <c r="C1222" s="1">
        <v>3</v>
      </c>
      <c r="D1222" s="3">
        <v>2216098</v>
      </c>
      <c r="E1222" s="3">
        <f t="shared" si="39"/>
        <v>2.2160980000000001</v>
      </c>
      <c r="F1222" s="1">
        <v>99994</v>
      </c>
      <c r="G1222" s="2">
        <v>738699.3</v>
      </c>
      <c r="H1222" s="1">
        <v>2003129</v>
      </c>
      <c r="M1222" t="s">
        <v>155</v>
      </c>
      <c r="N1222" t="s">
        <v>1597</v>
      </c>
    </row>
    <row r="1223" spans="1:14" x14ac:dyDescent="0.25">
      <c r="A1223" t="s">
        <v>156</v>
      </c>
      <c r="B1223" t="str">
        <f t="shared" si="38"/>
        <v>p__Cyanobacteriota</v>
      </c>
      <c r="C1223" s="1">
        <v>4</v>
      </c>
      <c r="D1223" s="3">
        <v>1992556</v>
      </c>
      <c r="E1223" s="3">
        <f t="shared" si="39"/>
        <v>1.992556</v>
      </c>
      <c r="F1223" s="1">
        <v>3381</v>
      </c>
      <c r="G1223" s="1">
        <v>498139</v>
      </c>
      <c r="H1223" s="1">
        <v>875945</v>
      </c>
      <c r="M1223" t="s">
        <v>156</v>
      </c>
      <c r="N1223" t="s">
        <v>1597</v>
      </c>
    </row>
    <row r="1224" spans="1:14" x14ac:dyDescent="0.25">
      <c r="A1224" t="s">
        <v>593</v>
      </c>
      <c r="B1224" t="str">
        <f t="shared" si="38"/>
        <v>p__Cyanobacteriota</v>
      </c>
      <c r="C1224" s="1">
        <v>17</v>
      </c>
      <c r="D1224" s="3">
        <v>1167344</v>
      </c>
      <c r="E1224" s="3">
        <f t="shared" si="39"/>
        <v>1.1673439999999999</v>
      </c>
      <c r="F1224" s="1">
        <v>9713</v>
      </c>
      <c r="G1224" s="2">
        <v>68667.3</v>
      </c>
      <c r="H1224" s="1">
        <v>178426</v>
      </c>
      <c r="M1224" t="s">
        <v>593</v>
      </c>
      <c r="N1224" t="s">
        <v>1597</v>
      </c>
    </row>
    <row r="1225" spans="1:14" x14ac:dyDescent="0.25">
      <c r="A1225" t="s">
        <v>594</v>
      </c>
      <c r="B1225" t="str">
        <f t="shared" si="38"/>
        <v>p__Cyanobacteriota</v>
      </c>
      <c r="C1225" s="1">
        <v>34</v>
      </c>
      <c r="D1225" s="3">
        <v>1460310</v>
      </c>
      <c r="E1225" s="3">
        <f t="shared" si="39"/>
        <v>1.46031</v>
      </c>
      <c r="F1225" s="1">
        <v>4819</v>
      </c>
      <c r="G1225" s="2">
        <v>42950.3</v>
      </c>
      <c r="H1225" s="1">
        <v>141023</v>
      </c>
      <c r="M1225" t="s">
        <v>594</v>
      </c>
      <c r="N1225" t="s">
        <v>1597</v>
      </c>
    </row>
    <row r="1226" spans="1:14" x14ac:dyDescent="0.25">
      <c r="A1226" t="s">
        <v>595</v>
      </c>
      <c r="B1226" t="str">
        <f t="shared" si="38"/>
        <v>p__Cyanobacteriota</v>
      </c>
      <c r="C1226" s="1">
        <v>24</v>
      </c>
      <c r="D1226" s="3">
        <v>2024463</v>
      </c>
      <c r="E1226" s="3">
        <f t="shared" si="39"/>
        <v>2.0244629999999999</v>
      </c>
      <c r="F1226" s="1">
        <v>6465</v>
      </c>
      <c r="G1226" s="2">
        <v>84352.6</v>
      </c>
      <c r="H1226" s="1">
        <v>236982</v>
      </c>
      <c r="M1226" t="s">
        <v>595</v>
      </c>
      <c r="N1226" t="s">
        <v>1597</v>
      </c>
    </row>
    <row r="1227" spans="1:14" x14ac:dyDescent="0.25">
      <c r="A1227" t="s">
        <v>596</v>
      </c>
      <c r="B1227" t="str">
        <f t="shared" si="38"/>
        <v>p__Cyanobacteriota</v>
      </c>
      <c r="C1227" s="1">
        <v>1</v>
      </c>
      <c r="D1227" s="3">
        <v>2001740</v>
      </c>
      <c r="E1227" s="3">
        <f t="shared" si="39"/>
        <v>2.0017399999999999</v>
      </c>
      <c r="F1227" s="1">
        <v>2001740</v>
      </c>
      <c r="G1227" s="1">
        <v>2001740</v>
      </c>
      <c r="H1227" s="1">
        <v>2001740</v>
      </c>
      <c r="M1227" t="s">
        <v>596</v>
      </c>
      <c r="N1227" t="s">
        <v>1597</v>
      </c>
    </row>
    <row r="1228" spans="1:14" x14ac:dyDescent="0.25">
      <c r="A1228" t="s">
        <v>597</v>
      </c>
      <c r="B1228" t="str">
        <f t="shared" si="38"/>
        <v>p__Cyanobacteriota</v>
      </c>
      <c r="C1228" s="1">
        <v>22</v>
      </c>
      <c r="D1228" s="3">
        <v>1098919</v>
      </c>
      <c r="E1228" s="3">
        <f t="shared" si="39"/>
        <v>1.098919</v>
      </c>
      <c r="F1228" s="1">
        <v>8456</v>
      </c>
      <c r="G1228" s="2">
        <v>49950.9</v>
      </c>
      <c r="H1228" s="1">
        <v>172617</v>
      </c>
      <c r="M1228" t="s">
        <v>597</v>
      </c>
      <c r="N1228" t="s">
        <v>1597</v>
      </c>
    </row>
    <row r="1229" spans="1:14" x14ac:dyDescent="0.25">
      <c r="A1229" t="s">
        <v>598</v>
      </c>
      <c r="B1229" t="str">
        <f t="shared" si="38"/>
        <v>p__Cyanobacteriota</v>
      </c>
      <c r="C1229" s="1">
        <v>25</v>
      </c>
      <c r="D1229" s="3">
        <v>1724469</v>
      </c>
      <c r="E1229" s="3">
        <f t="shared" si="39"/>
        <v>1.724469</v>
      </c>
      <c r="F1229" s="1">
        <v>10923</v>
      </c>
      <c r="G1229" s="2">
        <v>68978.8</v>
      </c>
      <c r="H1229" s="1">
        <v>259530</v>
      </c>
      <c r="M1229" t="s">
        <v>598</v>
      </c>
      <c r="N1229" t="s">
        <v>1597</v>
      </c>
    </row>
    <row r="1230" spans="1:14" x14ac:dyDescent="0.25">
      <c r="A1230" t="s">
        <v>1470</v>
      </c>
      <c r="B1230" t="str">
        <f t="shared" si="38"/>
        <v>p__Cyanobacteriota</v>
      </c>
      <c r="C1230" s="1">
        <v>26</v>
      </c>
      <c r="D1230" s="3">
        <v>1458576</v>
      </c>
      <c r="E1230" s="3">
        <f t="shared" si="39"/>
        <v>1.4585760000000001</v>
      </c>
      <c r="F1230" s="1">
        <v>2056</v>
      </c>
      <c r="G1230" s="2">
        <v>56099.1</v>
      </c>
      <c r="H1230" s="1">
        <v>352986</v>
      </c>
      <c r="M1230" t="s">
        <v>1470</v>
      </c>
      <c r="N1230" t="s">
        <v>1597</v>
      </c>
    </row>
    <row r="1231" spans="1:14" x14ac:dyDescent="0.25">
      <c r="A1231" t="s">
        <v>1471</v>
      </c>
      <c r="B1231" t="str">
        <f t="shared" si="38"/>
        <v>p__Cyanobacteriota</v>
      </c>
      <c r="C1231" s="1">
        <v>2</v>
      </c>
      <c r="D1231" s="3">
        <v>1937913</v>
      </c>
      <c r="E1231" s="3">
        <f t="shared" si="39"/>
        <v>1.937913</v>
      </c>
      <c r="F1231" s="1">
        <v>159486</v>
      </c>
      <c r="G1231" s="2">
        <v>968956.5</v>
      </c>
      <c r="H1231" s="1">
        <v>1778427</v>
      </c>
      <c r="M1231" t="s">
        <v>1471</v>
      </c>
      <c r="N1231" t="s">
        <v>1597</v>
      </c>
    </row>
    <row r="1232" spans="1:14" x14ac:dyDescent="0.25">
      <c r="A1232" t="s">
        <v>157</v>
      </c>
      <c r="B1232" t="str">
        <f t="shared" si="38"/>
        <v>p__Deferribacterota</v>
      </c>
      <c r="C1232" s="1">
        <v>73</v>
      </c>
      <c r="D1232" s="3">
        <v>2994005</v>
      </c>
      <c r="E1232" s="3">
        <f t="shared" si="39"/>
        <v>2.994005</v>
      </c>
      <c r="F1232" s="1">
        <v>2082</v>
      </c>
      <c r="G1232" s="2">
        <v>41013.800000000003</v>
      </c>
      <c r="H1232" s="1">
        <v>266978</v>
      </c>
      <c r="M1232" t="s">
        <v>157</v>
      </c>
      <c r="N1232" t="s">
        <v>1598</v>
      </c>
    </row>
    <row r="1233" spans="1:14" x14ac:dyDescent="0.25">
      <c r="A1233" t="s">
        <v>158</v>
      </c>
      <c r="B1233" t="str">
        <f t="shared" si="38"/>
        <v>p__Deferribacterota</v>
      </c>
      <c r="C1233" s="1">
        <v>35</v>
      </c>
      <c r="D1233" s="3">
        <v>3678595</v>
      </c>
      <c r="E1233" s="3">
        <f t="shared" si="39"/>
        <v>3.6785950000000001</v>
      </c>
      <c r="F1233" s="1">
        <v>2521</v>
      </c>
      <c r="G1233" s="2">
        <v>105102.7</v>
      </c>
      <c r="H1233" s="1">
        <v>320562</v>
      </c>
      <c r="M1233" t="s">
        <v>158</v>
      </c>
      <c r="N1233" t="s">
        <v>1598</v>
      </c>
    </row>
    <row r="1234" spans="1:14" x14ac:dyDescent="0.25">
      <c r="A1234" t="s">
        <v>599</v>
      </c>
      <c r="B1234" t="str">
        <f t="shared" si="38"/>
        <v>p__Deferribacterota</v>
      </c>
      <c r="C1234" s="1">
        <v>111</v>
      </c>
      <c r="D1234" s="3">
        <v>1701602</v>
      </c>
      <c r="E1234" s="3">
        <f t="shared" si="39"/>
        <v>1.7016020000000001</v>
      </c>
      <c r="F1234" s="2">
        <v>2003</v>
      </c>
      <c r="G1234" s="1">
        <v>15329.7</v>
      </c>
      <c r="H1234" s="1">
        <v>91930</v>
      </c>
      <c r="M1234" t="s">
        <v>599</v>
      </c>
      <c r="N1234" t="s">
        <v>1598</v>
      </c>
    </row>
    <row r="1235" spans="1:14" x14ac:dyDescent="0.25">
      <c r="A1235" t="s">
        <v>1002</v>
      </c>
      <c r="B1235" t="str">
        <f t="shared" si="38"/>
        <v>p__Deferribacterota</v>
      </c>
      <c r="C1235" s="1">
        <v>13</v>
      </c>
      <c r="D1235" s="3">
        <v>3133173</v>
      </c>
      <c r="E1235" s="3">
        <f t="shared" si="39"/>
        <v>3.1331730000000002</v>
      </c>
      <c r="F1235" s="1">
        <v>13672</v>
      </c>
      <c r="G1235" s="2">
        <v>241013.3</v>
      </c>
      <c r="H1235" s="1">
        <v>902621</v>
      </c>
      <c r="M1235" t="s">
        <v>1002</v>
      </c>
      <c r="N1235" t="s">
        <v>1598</v>
      </c>
    </row>
    <row r="1236" spans="1:14" x14ac:dyDescent="0.25">
      <c r="A1236" t="s">
        <v>1472</v>
      </c>
      <c r="B1236" t="str">
        <f t="shared" si="38"/>
        <v>p__Deferribacterota</v>
      </c>
      <c r="C1236" s="1">
        <v>45</v>
      </c>
      <c r="D1236" s="3">
        <v>2066086</v>
      </c>
      <c r="E1236" s="3">
        <f t="shared" si="39"/>
        <v>2.0660859999999999</v>
      </c>
      <c r="F1236" s="1">
        <v>3103</v>
      </c>
      <c r="G1236" s="1">
        <v>45913</v>
      </c>
      <c r="H1236" s="1">
        <v>357958</v>
      </c>
      <c r="M1236" t="s">
        <v>1472</v>
      </c>
      <c r="N1236" t="s">
        <v>1598</v>
      </c>
    </row>
    <row r="1237" spans="1:14" x14ac:dyDescent="0.25">
      <c r="A1237" t="s">
        <v>159</v>
      </c>
      <c r="B1237" t="str">
        <f t="shared" si="38"/>
        <v>p__Desulfobacterota</v>
      </c>
      <c r="C1237" s="1">
        <v>27</v>
      </c>
      <c r="D1237" s="3">
        <v>3694700</v>
      </c>
      <c r="E1237" s="3">
        <f t="shared" si="39"/>
        <v>3.6947000000000001</v>
      </c>
      <c r="F1237" s="1">
        <v>10837</v>
      </c>
      <c r="G1237" s="2">
        <v>136840.70000000001</v>
      </c>
      <c r="H1237" s="1">
        <v>518217</v>
      </c>
      <c r="M1237" t="s">
        <v>159</v>
      </c>
      <c r="N1237" t="s">
        <v>1599</v>
      </c>
    </row>
    <row r="1238" spans="1:14" x14ac:dyDescent="0.25">
      <c r="A1238" t="s">
        <v>160</v>
      </c>
      <c r="B1238" t="str">
        <f t="shared" si="38"/>
        <v>p__Desulfobacterota</v>
      </c>
      <c r="C1238" s="1">
        <v>49</v>
      </c>
      <c r="D1238" s="3">
        <v>4077669</v>
      </c>
      <c r="E1238" s="3">
        <f t="shared" si="39"/>
        <v>4.0776690000000002</v>
      </c>
      <c r="F1238" s="1">
        <v>3733</v>
      </c>
      <c r="G1238" s="2">
        <v>83217.7</v>
      </c>
      <c r="H1238" s="1">
        <v>310532</v>
      </c>
      <c r="M1238" t="s">
        <v>160</v>
      </c>
      <c r="N1238" t="s">
        <v>1599</v>
      </c>
    </row>
    <row r="1239" spans="1:14" x14ac:dyDescent="0.25">
      <c r="A1239" t="s">
        <v>161</v>
      </c>
      <c r="B1239" t="str">
        <f t="shared" si="38"/>
        <v>p__Desulfobacterota</v>
      </c>
      <c r="C1239" s="1">
        <v>31</v>
      </c>
      <c r="D1239" s="3">
        <v>4871795</v>
      </c>
      <c r="E1239" s="3">
        <f t="shared" si="39"/>
        <v>4.8717949999999997</v>
      </c>
      <c r="F1239" s="1">
        <v>2482</v>
      </c>
      <c r="G1239" s="2">
        <v>157154.70000000001</v>
      </c>
      <c r="H1239" s="1">
        <v>855896</v>
      </c>
      <c r="M1239" t="s">
        <v>161</v>
      </c>
      <c r="N1239" t="s">
        <v>1599</v>
      </c>
    </row>
    <row r="1240" spans="1:14" x14ac:dyDescent="0.25">
      <c r="A1240" t="s">
        <v>162</v>
      </c>
      <c r="B1240" t="str">
        <f t="shared" si="38"/>
        <v>p__Desulfobacterota</v>
      </c>
      <c r="C1240" s="1">
        <v>3</v>
      </c>
      <c r="D1240" s="3">
        <v>4829707</v>
      </c>
      <c r="E1240" s="3">
        <f t="shared" si="39"/>
        <v>4.829707</v>
      </c>
      <c r="F1240" s="1">
        <v>342006</v>
      </c>
      <c r="G1240" s="2">
        <v>1609902.3</v>
      </c>
      <c r="H1240" s="1">
        <v>3788023</v>
      </c>
      <c r="M1240" t="s">
        <v>162</v>
      </c>
      <c r="N1240" t="s">
        <v>1599</v>
      </c>
    </row>
    <row r="1241" spans="1:14" x14ac:dyDescent="0.25">
      <c r="A1241" t="s">
        <v>163</v>
      </c>
      <c r="B1241" t="str">
        <f t="shared" si="38"/>
        <v>p__Desulfobacterota</v>
      </c>
      <c r="C1241" s="1">
        <v>6</v>
      </c>
      <c r="D1241" s="3">
        <v>4464580</v>
      </c>
      <c r="E1241" s="3">
        <f t="shared" si="39"/>
        <v>4.4645799999999998</v>
      </c>
      <c r="F1241" s="1">
        <v>203869</v>
      </c>
      <c r="G1241" s="2">
        <v>744096.7</v>
      </c>
      <c r="H1241" s="1">
        <v>1666712</v>
      </c>
      <c r="M1241" t="s">
        <v>163</v>
      </c>
      <c r="N1241" t="s">
        <v>1599</v>
      </c>
    </row>
    <row r="1242" spans="1:14" x14ac:dyDescent="0.25">
      <c r="A1242" t="s">
        <v>164</v>
      </c>
      <c r="B1242" t="str">
        <f t="shared" si="38"/>
        <v>p__Desulfobacterota</v>
      </c>
      <c r="C1242" s="1">
        <v>73</v>
      </c>
      <c r="D1242" s="3">
        <v>3453020</v>
      </c>
      <c r="E1242" s="3">
        <f t="shared" si="39"/>
        <v>3.45302</v>
      </c>
      <c r="F1242" s="1">
        <v>2034</v>
      </c>
      <c r="G1242" s="2">
        <v>47301.599999999999</v>
      </c>
      <c r="H1242" s="1">
        <v>341546</v>
      </c>
      <c r="M1242" t="s">
        <v>164</v>
      </c>
      <c r="N1242" t="s">
        <v>1599</v>
      </c>
    </row>
    <row r="1243" spans="1:14" x14ac:dyDescent="0.25">
      <c r="A1243" t="s">
        <v>165</v>
      </c>
      <c r="B1243" t="str">
        <f t="shared" si="38"/>
        <v>p__Desulfobacterota</v>
      </c>
      <c r="C1243" s="1">
        <v>107</v>
      </c>
      <c r="D1243" s="3">
        <v>4201263</v>
      </c>
      <c r="E1243" s="3">
        <f t="shared" si="39"/>
        <v>4.201263</v>
      </c>
      <c r="F1243" s="2">
        <v>2024</v>
      </c>
      <c r="G1243" s="1">
        <v>39264.1</v>
      </c>
      <c r="H1243" s="1">
        <v>401026</v>
      </c>
      <c r="M1243" t="s">
        <v>165</v>
      </c>
      <c r="N1243" t="s">
        <v>1599</v>
      </c>
    </row>
    <row r="1244" spans="1:14" x14ac:dyDescent="0.25">
      <c r="A1244" t="s">
        <v>166</v>
      </c>
      <c r="B1244" t="str">
        <f t="shared" si="38"/>
        <v>p__Desulfobacterota</v>
      </c>
      <c r="C1244" s="1">
        <v>53</v>
      </c>
      <c r="D1244" s="3">
        <v>2163175</v>
      </c>
      <c r="E1244" s="3">
        <f t="shared" si="39"/>
        <v>2.1631749999999998</v>
      </c>
      <c r="F1244" s="1">
        <v>3724</v>
      </c>
      <c r="G1244" s="2">
        <v>40814.6</v>
      </c>
      <c r="H1244" s="1">
        <v>137593</v>
      </c>
      <c r="M1244" t="s">
        <v>166</v>
      </c>
      <c r="N1244" t="s">
        <v>1599</v>
      </c>
    </row>
    <row r="1245" spans="1:14" x14ac:dyDescent="0.25">
      <c r="A1245" t="s">
        <v>167</v>
      </c>
      <c r="B1245" t="str">
        <f t="shared" si="38"/>
        <v>p__Desulfobacterota</v>
      </c>
      <c r="C1245" s="1">
        <v>81</v>
      </c>
      <c r="D1245" s="3">
        <v>2853084</v>
      </c>
      <c r="E1245" s="3">
        <f t="shared" si="39"/>
        <v>2.853084</v>
      </c>
      <c r="F1245" s="1">
        <v>2006</v>
      </c>
      <c r="G1245" s="2">
        <v>35223.300000000003</v>
      </c>
      <c r="H1245" s="1">
        <v>253737</v>
      </c>
      <c r="M1245" t="s">
        <v>167</v>
      </c>
      <c r="N1245" t="s">
        <v>1599</v>
      </c>
    </row>
    <row r="1246" spans="1:14" x14ac:dyDescent="0.25">
      <c r="A1246" t="s">
        <v>168</v>
      </c>
      <c r="B1246" t="str">
        <f t="shared" si="38"/>
        <v>p__Desulfobacterota</v>
      </c>
      <c r="C1246" s="1">
        <v>29</v>
      </c>
      <c r="D1246" s="3">
        <v>3177036</v>
      </c>
      <c r="E1246" s="3">
        <f t="shared" si="39"/>
        <v>3.1770360000000002</v>
      </c>
      <c r="F1246" s="1">
        <v>21443</v>
      </c>
      <c r="G1246" s="1">
        <v>109553</v>
      </c>
      <c r="H1246" s="1">
        <v>416574</v>
      </c>
      <c r="M1246" t="s">
        <v>168</v>
      </c>
      <c r="N1246" t="s">
        <v>1599</v>
      </c>
    </row>
    <row r="1247" spans="1:14" x14ac:dyDescent="0.25">
      <c r="A1247" t="s">
        <v>169</v>
      </c>
      <c r="B1247" t="str">
        <f t="shared" si="38"/>
        <v>p__Desulfobacterota</v>
      </c>
      <c r="C1247" s="1">
        <v>16</v>
      </c>
      <c r="D1247" s="3">
        <v>2290715</v>
      </c>
      <c r="E1247" s="3">
        <f t="shared" si="39"/>
        <v>2.2907150000000001</v>
      </c>
      <c r="F1247" s="1">
        <v>7669</v>
      </c>
      <c r="G1247" s="2">
        <v>143169.70000000001</v>
      </c>
      <c r="H1247" s="1">
        <v>612995</v>
      </c>
      <c r="M1247" t="s">
        <v>169</v>
      </c>
      <c r="N1247" t="s">
        <v>1599</v>
      </c>
    </row>
    <row r="1248" spans="1:14" x14ac:dyDescent="0.25">
      <c r="A1248" t="s">
        <v>170</v>
      </c>
      <c r="B1248" t="str">
        <f t="shared" si="38"/>
        <v>p__Desulfobacterota</v>
      </c>
      <c r="C1248" s="1">
        <v>37</v>
      </c>
      <c r="D1248" s="3">
        <v>3830178</v>
      </c>
      <c r="E1248" s="3">
        <f t="shared" si="39"/>
        <v>3.8301780000000001</v>
      </c>
      <c r="F1248" s="1">
        <v>14402</v>
      </c>
      <c r="G1248" s="2">
        <v>103518.3</v>
      </c>
      <c r="H1248" s="1">
        <v>350304</v>
      </c>
      <c r="M1248" t="s">
        <v>170</v>
      </c>
      <c r="N1248" t="s">
        <v>1599</v>
      </c>
    </row>
    <row r="1249" spans="1:14" x14ac:dyDescent="0.25">
      <c r="A1249" t="s">
        <v>171</v>
      </c>
      <c r="B1249" t="str">
        <f t="shared" si="38"/>
        <v>p__Desulfobacterota</v>
      </c>
      <c r="C1249" s="1">
        <v>12</v>
      </c>
      <c r="D1249" s="3">
        <v>3534274</v>
      </c>
      <c r="E1249" s="3">
        <f t="shared" si="39"/>
        <v>3.5342739999999999</v>
      </c>
      <c r="F1249" s="1">
        <v>23900</v>
      </c>
      <c r="G1249" s="2">
        <v>294522.8</v>
      </c>
      <c r="H1249" s="1">
        <v>678567</v>
      </c>
      <c r="M1249" t="s">
        <v>171</v>
      </c>
      <c r="N1249" t="s">
        <v>1599</v>
      </c>
    </row>
    <row r="1250" spans="1:14" x14ac:dyDescent="0.25">
      <c r="A1250" t="s">
        <v>172</v>
      </c>
      <c r="B1250" t="str">
        <f t="shared" si="38"/>
        <v>p__Desulfobacterota</v>
      </c>
      <c r="C1250" s="1">
        <v>36</v>
      </c>
      <c r="D1250" s="3">
        <v>3625225</v>
      </c>
      <c r="E1250" s="3">
        <f t="shared" si="39"/>
        <v>3.6252249999999999</v>
      </c>
      <c r="F1250" s="1">
        <v>2084</v>
      </c>
      <c r="G1250" s="2">
        <v>100700.7</v>
      </c>
      <c r="H1250" s="1">
        <v>1852595</v>
      </c>
      <c r="M1250" t="s">
        <v>172</v>
      </c>
      <c r="N1250" t="s">
        <v>1599</v>
      </c>
    </row>
    <row r="1251" spans="1:14" x14ac:dyDescent="0.25">
      <c r="A1251" t="s">
        <v>173</v>
      </c>
      <c r="B1251" t="str">
        <f t="shared" si="38"/>
        <v>p__Desulfobacterota</v>
      </c>
      <c r="C1251" s="1">
        <v>2</v>
      </c>
      <c r="D1251" s="3">
        <v>3584612</v>
      </c>
      <c r="E1251" s="3">
        <f t="shared" si="39"/>
        <v>3.5846119999999999</v>
      </c>
      <c r="F1251" s="1">
        <v>333242</v>
      </c>
      <c r="G1251" s="1">
        <v>1792306</v>
      </c>
      <c r="H1251" s="1">
        <v>3251370</v>
      </c>
      <c r="M1251" t="s">
        <v>173</v>
      </c>
      <c r="N1251" t="s">
        <v>1599</v>
      </c>
    </row>
    <row r="1252" spans="1:14" x14ac:dyDescent="0.25">
      <c r="A1252" t="s">
        <v>174</v>
      </c>
      <c r="B1252" t="str">
        <f t="shared" si="38"/>
        <v>p__Desulfobacterota</v>
      </c>
      <c r="C1252" s="1">
        <v>7</v>
      </c>
      <c r="D1252" s="3">
        <v>4024526</v>
      </c>
      <c r="E1252" s="3">
        <f t="shared" si="39"/>
        <v>4.0245259999999998</v>
      </c>
      <c r="F1252" s="1">
        <v>12788</v>
      </c>
      <c r="G1252" s="2">
        <v>574932.30000000005</v>
      </c>
      <c r="H1252" s="1">
        <v>1138247</v>
      </c>
      <c r="M1252" t="s">
        <v>174</v>
      </c>
      <c r="N1252" t="s">
        <v>1599</v>
      </c>
    </row>
    <row r="1253" spans="1:14" x14ac:dyDescent="0.25">
      <c r="A1253" t="s">
        <v>175</v>
      </c>
      <c r="B1253" t="str">
        <f t="shared" si="38"/>
        <v>p__Desulfobacterota</v>
      </c>
      <c r="C1253" s="1">
        <v>23</v>
      </c>
      <c r="D1253" s="3">
        <v>4547917</v>
      </c>
      <c r="E1253" s="3">
        <f t="shared" si="39"/>
        <v>4.547917</v>
      </c>
      <c r="F1253" s="1">
        <v>2242</v>
      </c>
      <c r="G1253" s="2">
        <v>197735.5</v>
      </c>
      <c r="H1253" s="1">
        <v>651683</v>
      </c>
      <c r="M1253" t="s">
        <v>175</v>
      </c>
      <c r="N1253" t="s">
        <v>1599</v>
      </c>
    </row>
    <row r="1254" spans="1:14" x14ac:dyDescent="0.25">
      <c r="A1254" t="s">
        <v>176</v>
      </c>
      <c r="B1254" t="str">
        <f t="shared" si="38"/>
        <v>p__Desulfobacterota</v>
      </c>
      <c r="C1254" s="1">
        <v>22</v>
      </c>
      <c r="D1254" s="3">
        <v>3406496</v>
      </c>
      <c r="E1254" s="3">
        <f t="shared" si="39"/>
        <v>3.4064960000000002</v>
      </c>
      <c r="F1254" s="1">
        <v>7601</v>
      </c>
      <c r="G1254" s="2">
        <v>154840.70000000001</v>
      </c>
      <c r="H1254" s="1">
        <v>505725</v>
      </c>
      <c r="M1254" t="s">
        <v>176</v>
      </c>
      <c r="N1254" t="s">
        <v>1599</v>
      </c>
    </row>
    <row r="1255" spans="1:14" x14ac:dyDescent="0.25">
      <c r="A1255" t="s">
        <v>177</v>
      </c>
      <c r="B1255" t="str">
        <f t="shared" si="38"/>
        <v>p__Desulfobacterota</v>
      </c>
      <c r="C1255" s="1">
        <v>6</v>
      </c>
      <c r="D1255" s="3">
        <v>4632576</v>
      </c>
      <c r="E1255" s="3">
        <f t="shared" si="39"/>
        <v>4.6325760000000002</v>
      </c>
      <c r="F1255" s="1">
        <v>88566</v>
      </c>
      <c r="G1255" s="1">
        <v>772096</v>
      </c>
      <c r="H1255" s="1">
        <v>3141087</v>
      </c>
      <c r="M1255" t="s">
        <v>177</v>
      </c>
      <c r="N1255" t="s">
        <v>1599</v>
      </c>
    </row>
    <row r="1256" spans="1:14" x14ac:dyDescent="0.25">
      <c r="A1256" t="s">
        <v>178</v>
      </c>
      <c r="B1256" t="str">
        <f t="shared" si="38"/>
        <v>p__Desulfobacterota</v>
      </c>
      <c r="C1256" s="1">
        <v>3</v>
      </c>
      <c r="D1256" s="3">
        <v>2983366</v>
      </c>
      <c r="E1256" s="3">
        <f t="shared" si="39"/>
        <v>2.9833660000000002</v>
      </c>
      <c r="F1256" s="1">
        <v>766378</v>
      </c>
      <c r="G1256" s="2">
        <v>994455.3</v>
      </c>
      <c r="H1256" s="1">
        <v>1130596</v>
      </c>
      <c r="M1256" t="s">
        <v>178</v>
      </c>
      <c r="N1256" t="s">
        <v>1599</v>
      </c>
    </row>
    <row r="1257" spans="1:14" x14ac:dyDescent="0.25">
      <c r="A1257" t="s">
        <v>179</v>
      </c>
      <c r="B1257" t="str">
        <f t="shared" si="38"/>
        <v>p__Desulfobacterota</v>
      </c>
      <c r="C1257" s="1">
        <v>49</v>
      </c>
      <c r="D1257" s="3">
        <v>2913971</v>
      </c>
      <c r="E1257" s="3">
        <f t="shared" si="39"/>
        <v>2.9139710000000001</v>
      </c>
      <c r="F1257" s="1">
        <v>2025</v>
      </c>
      <c r="G1257" s="2">
        <v>59468.800000000003</v>
      </c>
      <c r="H1257" s="1">
        <v>261620</v>
      </c>
      <c r="M1257" t="s">
        <v>179</v>
      </c>
      <c r="N1257" t="s">
        <v>1599</v>
      </c>
    </row>
    <row r="1258" spans="1:14" x14ac:dyDescent="0.25">
      <c r="A1258" t="s">
        <v>180</v>
      </c>
      <c r="B1258" t="str">
        <f t="shared" si="38"/>
        <v>p__Desulfobacterota</v>
      </c>
      <c r="C1258" s="1">
        <v>56</v>
      </c>
      <c r="D1258" s="3">
        <v>2507061</v>
      </c>
      <c r="E1258" s="3">
        <f t="shared" si="39"/>
        <v>2.5070610000000002</v>
      </c>
      <c r="F1258" s="1">
        <v>5460</v>
      </c>
      <c r="G1258" s="2">
        <v>44768.9</v>
      </c>
      <c r="H1258" s="1">
        <v>135252</v>
      </c>
      <c r="M1258" t="s">
        <v>180</v>
      </c>
      <c r="N1258" t="s">
        <v>1599</v>
      </c>
    </row>
    <row r="1259" spans="1:14" x14ac:dyDescent="0.25">
      <c r="A1259" t="s">
        <v>181</v>
      </c>
      <c r="B1259" t="str">
        <f t="shared" si="38"/>
        <v>p__Desulfobacterota</v>
      </c>
      <c r="C1259" s="1">
        <v>27</v>
      </c>
      <c r="D1259" s="3">
        <v>3949064</v>
      </c>
      <c r="E1259" s="3">
        <f t="shared" si="39"/>
        <v>3.9490639999999999</v>
      </c>
      <c r="F1259" s="1">
        <v>3530</v>
      </c>
      <c r="G1259" s="2">
        <v>146261.6</v>
      </c>
      <c r="H1259" s="1">
        <v>479221</v>
      </c>
      <c r="M1259" t="s">
        <v>181</v>
      </c>
      <c r="N1259" t="s">
        <v>1599</v>
      </c>
    </row>
    <row r="1260" spans="1:14" x14ac:dyDescent="0.25">
      <c r="A1260" t="s">
        <v>600</v>
      </c>
      <c r="B1260" t="str">
        <f t="shared" si="38"/>
        <v>p__Desulfobacterota</v>
      </c>
      <c r="C1260" s="1">
        <v>209</v>
      </c>
      <c r="D1260" s="3">
        <v>2090469</v>
      </c>
      <c r="E1260" s="3">
        <f t="shared" si="39"/>
        <v>2.0904690000000001</v>
      </c>
      <c r="F1260" s="2">
        <v>2028</v>
      </c>
      <c r="G1260" s="1">
        <v>10002.200000000001</v>
      </c>
      <c r="H1260" s="1">
        <v>109946</v>
      </c>
      <c r="M1260" t="s">
        <v>600</v>
      </c>
      <c r="N1260" t="s">
        <v>1599</v>
      </c>
    </row>
    <row r="1261" spans="1:14" x14ac:dyDescent="0.25">
      <c r="A1261" t="s">
        <v>601</v>
      </c>
      <c r="B1261" t="str">
        <f t="shared" si="38"/>
        <v>p__Desulfobacterota</v>
      </c>
      <c r="C1261" s="1">
        <v>249</v>
      </c>
      <c r="D1261" s="3">
        <v>1392784</v>
      </c>
      <c r="E1261" s="3">
        <f t="shared" si="39"/>
        <v>1.392784</v>
      </c>
      <c r="F1261" s="2">
        <v>2014</v>
      </c>
      <c r="G1261" s="1">
        <v>5593.5</v>
      </c>
      <c r="H1261" s="1">
        <v>21454</v>
      </c>
      <c r="M1261" t="s">
        <v>601</v>
      </c>
      <c r="N1261" t="s">
        <v>1599</v>
      </c>
    </row>
    <row r="1262" spans="1:14" x14ac:dyDescent="0.25">
      <c r="A1262" t="s">
        <v>602</v>
      </c>
      <c r="B1262" t="str">
        <f t="shared" si="38"/>
        <v>p__Desulfobacterota</v>
      </c>
      <c r="C1262" s="1">
        <v>308</v>
      </c>
      <c r="D1262" s="3">
        <v>1966236</v>
      </c>
      <c r="E1262" s="3">
        <f t="shared" si="39"/>
        <v>1.9662360000000001</v>
      </c>
      <c r="F1262" s="2">
        <v>2001</v>
      </c>
      <c r="G1262" s="1">
        <v>6383.9</v>
      </c>
      <c r="H1262" s="1">
        <v>35280</v>
      </c>
      <c r="M1262" t="s">
        <v>602</v>
      </c>
      <c r="N1262" t="s">
        <v>1599</v>
      </c>
    </row>
    <row r="1263" spans="1:14" x14ac:dyDescent="0.25">
      <c r="A1263" t="s">
        <v>1003</v>
      </c>
      <c r="B1263" t="str">
        <f t="shared" si="38"/>
        <v>p__Desulfobacterota</v>
      </c>
      <c r="C1263" s="1">
        <v>23</v>
      </c>
      <c r="D1263" s="3">
        <v>3151168</v>
      </c>
      <c r="E1263" s="3">
        <f t="shared" si="39"/>
        <v>3.1511680000000002</v>
      </c>
      <c r="F1263" s="1">
        <v>19627</v>
      </c>
      <c r="G1263" s="2">
        <v>137007.29999999999</v>
      </c>
      <c r="H1263" s="1">
        <v>578558</v>
      </c>
      <c r="M1263" t="s">
        <v>1003</v>
      </c>
      <c r="N1263" t="s">
        <v>1599</v>
      </c>
    </row>
    <row r="1264" spans="1:14" x14ac:dyDescent="0.25">
      <c r="A1264" t="s">
        <v>1004</v>
      </c>
      <c r="B1264" t="str">
        <f t="shared" si="38"/>
        <v>p__Desulfobacterota</v>
      </c>
      <c r="C1264" s="1">
        <v>29</v>
      </c>
      <c r="D1264" s="3">
        <v>1654809</v>
      </c>
      <c r="E1264" s="3">
        <f t="shared" si="39"/>
        <v>1.654809</v>
      </c>
      <c r="F1264" s="1">
        <v>3470</v>
      </c>
      <c r="G1264" s="2">
        <v>57062.400000000001</v>
      </c>
      <c r="H1264" s="1">
        <v>175009</v>
      </c>
      <c r="M1264" t="s">
        <v>1004</v>
      </c>
      <c r="N1264" t="s">
        <v>1599</v>
      </c>
    </row>
    <row r="1265" spans="1:14" x14ac:dyDescent="0.25">
      <c r="A1265" t="s">
        <v>1005</v>
      </c>
      <c r="B1265" t="str">
        <f t="shared" si="38"/>
        <v>p__Desulfobacterota</v>
      </c>
      <c r="C1265" s="1">
        <v>72</v>
      </c>
      <c r="D1265" s="3">
        <v>2510952</v>
      </c>
      <c r="E1265" s="3">
        <f t="shared" si="39"/>
        <v>2.5109520000000001</v>
      </c>
      <c r="F1265" s="1">
        <v>2059</v>
      </c>
      <c r="G1265" s="2">
        <v>34874.300000000003</v>
      </c>
      <c r="H1265" s="1">
        <v>281072</v>
      </c>
      <c r="M1265" t="s">
        <v>1005</v>
      </c>
      <c r="N1265" t="s">
        <v>1599</v>
      </c>
    </row>
    <row r="1266" spans="1:14" x14ac:dyDescent="0.25">
      <c r="A1266" t="s">
        <v>1006</v>
      </c>
      <c r="B1266" t="str">
        <f t="shared" si="38"/>
        <v>p__Desulfobacterota</v>
      </c>
      <c r="C1266" s="1">
        <v>60</v>
      </c>
      <c r="D1266" s="3">
        <v>2533279</v>
      </c>
      <c r="E1266" s="3">
        <f t="shared" si="39"/>
        <v>2.5332789999999998</v>
      </c>
      <c r="F1266" s="1">
        <v>2523</v>
      </c>
      <c r="G1266" s="2">
        <v>42221.3</v>
      </c>
      <c r="H1266" s="1">
        <v>187725</v>
      </c>
      <c r="M1266" t="s">
        <v>1006</v>
      </c>
      <c r="N1266" t="s">
        <v>1599</v>
      </c>
    </row>
    <row r="1267" spans="1:14" x14ac:dyDescent="0.25">
      <c r="A1267" t="s">
        <v>1007</v>
      </c>
      <c r="B1267" t="str">
        <f t="shared" si="38"/>
        <v>p__Desulfobacterota</v>
      </c>
      <c r="C1267" s="1">
        <v>59</v>
      </c>
      <c r="D1267" s="3">
        <v>1759638</v>
      </c>
      <c r="E1267" s="3">
        <f t="shared" si="39"/>
        <v>1.759638</v>
      </c>
      <c r="F1267" s="1">
        <v>2543</v>
      </c>
      <c r="G1267" s="2">
        <v>29824.400000000001</v>
      </c>
      <c r="H1267" s="1">
        <v>132787</v>
      </c>
      <c r="M1267" t="s">
        <v>1007</v>
      </c>
      <c r="N1267" t="s">
        <v>1599</v>
      </c>
    </row>
    <row r="1268" spans="1:14" x14ac:dyDescent="0.25">
      <c r="A1268" t="s">
        <v>1008</v>
      </c>
      <c r="B1268" t="str">
        <f t="shared" si="38"/>
        <v>p__Desulfobacterota</v>
      </c>
      <c r="C1268" s="1">
        <v>107</v>
      </c>
      <c r="D1268" s="3">
        <v>1539826</v>
      </c>
      <c r="E1268" s="3">
        <f t="shared" si="39"/>
        <v>1.5398259999999999</v>
      </c>
      <c r="F1268" s="2">
        <v>2011</v>
      </c>
      <c r="G1268" s="1">
        <v>14390.9</v>
      </c>
      <c r="H1268" s="1">
        <v>218111</v>
      </c>
      <c r="M1268" t="s">
        <v>1008</v>
      </c>
      <c r="N1268" t="s">
        <v>1599</v>
      </c>
    </row>
    <row r="1269" spans="1:14" x14ac:dyDescent="0.25">
      <c r="A1269" t="s">
        <v>1009</v>
      </c>
      <c r="B1269" t="str">
        <f t="shared" si="38"/>
        <v>p__Desulfobacterota</v>
      </c>
      <c r="C1269" s="1">
        <v>55</v>
      </c>
      <c r="D1269" s="3">
        <v>3563321</v>
      </c>
      <c r="E1269" s="3">
        <f t="shared" si="39"/>
        <v>3.5633210000000002</v>
      </c>
      <c r="F1269" s="1">
        <v>3000</v>
      </c>
      <c r="G1269" s="2">
        <v>64787.7</v>
      </c>
      <c r="H1269" s="1">
        <v>216517</v>
      </c>
      <c r="M1269" t="s">
        <v>1009</v>
      </c>
      <c r="N1269" t="s">
        <v>1599</v>
      </c>
    </row>
    <row r="1270" spans="1:14" x14ac:dyDescent="0.25">
      <c r="A1270" t="s">
        <v>1010</v>
      </c>
      <c r="B1270" t="str">
        <f t="shared" si="38"/>
        <v>p__Desulfobacterota</v>
      </c>
      <c r="C1270" s="1">
        <v>28</v>
      </c>
      <c r="D1270" s="3">
        <v>2778548</v>
      </c>
      <c r="E1270" s="3">
        <f t="shared" si="39"/>
        <v>2.7785479999999998</v>
      </c>
      <c r="F1270" s="1">
        <v>6640</v>
      </c>
      <c r="G1270" s="2">
        <v>99233.9</v>
      </c>
      <c r="H1270" s="1">
        <v>371176</v>
      </c>
      <c r="M1270" t="s">
        <v>1010</v>
      </c>
      <c r="N1270" t="s">
        <v>1599</v>
      </c>
    </row>
    <row r="1271" spans="1:14" x14ac:dyDescent="0.25">
      <c r="A1271" t="s">
        <v>1011</v>
      </c>
      <c r="B1271" t="str">
        <f t="shared" si="38"/>
        <v>p__Desulfobacterota</v>
      </c>
      <c r="C1271" s="1">
        <v>89</v>
      </c>
      <c r="D1271" s="3">
        <v>2856858</v>
      </c>
      <c r="E1271" s="3">
        <f t="shared" si="39"/>
        <v>2.8568579999999999</v>
      </c>
      <c r="F1271" s="1">
        <v>4329</v>
      </c>
      <c r="G1271" s="2">
        <v>32099.5</v>
      </c>
      <c r="H1271" s="1">
        <v>130106</v>
      </c>
      <c r="M1271" t="s">
        <v>1011</v>
      </c>
      <c r="N1271" t="s">
        <v>1599</v>
      </c>
    </row>
    <row r="1272" spans="1:14" x14ac:dyDescent="0.25">
      <c r="A1272" t="s">
        <v>1012</v>
      </c>
      <c r="B1272" t="str">
        <f t="shared" si="38"/>
        <v>p__Desulfobacterota</v>
      </c>
      <c r="C1272" s="1">
        <v>7</v>
      </c>
      <c r="D1272" s="3">
        <v>3376304</v>
      </c>
      <c r="E1272" s="3">
        <f t="shared" si="39"/>
        <v>3.3763040000000002</v>
      </c>
      <c r="F1272" s="1">
        <v>2018</v>
      </c>
      <c r="G1272" s="2">
        <v>482329.1</v>
      </c>
      <c r="H1272" s="1">
        <v>1166939</v>
      </c>
      <c r="M1272" t="s">
        <v>1012</v>
      </c>
      <c r="N1272" t="s">
        <v>1599</v>
      </c>
    </row>
    <row r="1273" spans="1:14" x14ac:dyDescent="0.25">
      <c r="A1273" t="s">
        <v>1013</v>
      </c>
      <c r="B1273" t="str">
        <f t="shared" si="38"/>
        <v>p__Desulfobacterota</v>
      </c>
      <c r="C1273" s="1">
        <v>23</v>
      </c>
      <c r="D1273" s="3">
        <v>3414752</v>
      </c>
      <c r="E1273" s="3">
        <f t="shared" si="39"/>
        <v>3.414752</v>
      </c>
      <c r="F1273" s="1">
        <v>2061</v>
      </c>
      <c r="G1273" s="2">
        <v>148467.5</v>
      </c>
      <c r="H1273" s="1">
        <v>568013</v>
      </c>
      <c r="M1273" t="s">
        <v>1013</v>
      </c>
      <c r="N1273" t="s">
        <v>1599</v>
      </c>
    </row>
    <row r="1274" spans="1:14" x14ac:dyDescent="0.25">
      <c r="A1274" t="s">
        <v>1014</v>
      </c>
      <c r="B1274" t="str">
        <f t="shared" si="38"/>
        <v>p__Desulfobacterota</v>
      </c>
      <c r="C1274" s="1">
        <v>6</v>
      </c>
      <c r="D1274" s="3">
        <v>3189569</v>
      </c>
      <c r="E1274" s="3">
        <f t="shared" si="39"/>
        <v>3.1895690000000001</v>
      </c>
      <c r="F1274" s="1">
        <v>28003</v>
      </c>
      <c r="G1274" s="2">
        <v>531594.80000000005</v>
      </c>
      <c r="H1274" s="1">
        <v>1124848</v>
      </c>
      <c r="M1274" t="s">
        <v>1014</v>
      </c>
      <c r="N1274" t="s">
        <v>1599</v>
      </c>
    </row>
    <row r="1275" spans="1:14" x14ac:dyDescent="0.25">
      <c r="A1275" t="s">
        <v>1015</v>
      </c>
      <c r="B1275" t="str">
        <f t="shared" si="38"/>
        <v>p__Desulfobacterota</v>
      </c>
      <c r="C1275" s="1">
        <v>27</v>
      </c>
      <c r="D1275" s="3">
        <v>2493721</v>
      </c>
      <c r="E1275" s="3">
        <f t="shared" si="39"/>
        <v>2.4937209999999999</v>
      </c>
      <c r="F1275" s="1">
        <v>3753</v>
      </c>
      <c r="G1275" s="1">
        <v>92360</v>
      </c>
      <c r="H1275" s="1">
        <v>341780</v>
      </c>
      <c r="M1275" t="s">
        <v>1015</v>
      </c>
      <c r="N1275" t="s">
        <v>1599</v>
      </c>
    </row>
    <row r="1276" spans="1:14" x14ac:dyDescent="0.25">
      <c r="A1276" t="s">
        <v>1016</v>
      </c>
      <c r="B1276" t="str">
        <f t="shared" si="38"/>
        <v>p__Desulfobacterota</v>
      </c>
      <c r="C1276" s="1">
        <v>18</v>
      </c>
      <c r="D1276" s="3">
        <v>2804165</v>
      </c>
      <c r="E1276" s="3">
        <f t="shared" si="39"/>
        <v>2.8041649999999998</v>
      </c>
      <c r="F1276" s="1">
        <v>9547</v>
      </c>
      <c r="G1276" s="2">
        <v>155786.9</v>
      </c>
      <c r="H1276" s="1">
        <v>532833</v>
      </c>
      <c r="M1276" t="s">
        <v>1016</v>
      </c>
      <c r="N1276" t="s">
        <v>1599</v>
      </c>
    </row>
    <row r="1277" spans="1:14" x14ac:dyDescent="0.25">
      <c r="A1277" t="s">
        <v>1017</v>
      </c>
      <c r="B1277" t="str">
        <f t="shared" si="38"/>
        <v>p__Desulfobacterota</v>
      </c>
      <c r="C1277" s="1">
        <v>79</v>
      </c>
      <c r="D1277" s="3">
        <v>3038593</v>
      </c>
      <c r="E1277" s="3">
        <f t="shared" si="39"/>
        <v>3.0385930000000001</v>
      </c>
      <c r="F1277" s="1">
        <v>5899</v>
      </c>
      <c r="G1277" s="2">
        <v>38463.199999999997</v>
      </c>
      <c r="H1277" s="1">
        <v>114739</v>
      </c>
      <c r="M1277" t="s">
        <v>1017</v>
      </c>
      <c r="N1277" t="s">
        <v>1599</v>
      </c>
    </row>
    <row r="1278" spans="1:14" x14ac:dyDescent="0.25">
      <c r="A1278" t="s">
        <v>1018</v>
      </c>
      <c r="B1278" t="str">
        <f t="shared" si="38"/>
        <v>p__Desulfobacterota</v>
      </c>
      <c r="C1278" s="1">
        <v>90</v>
      </c>
      <c r="D1278" s="3">
        <v>2410106</v>
      </c>
      <c r="E1278" s="3">
        <f t="shared" si="39"/>
        <v>2.4101059999999999</v>
      </c>
      <c r="F1278" s="1">
        <v>4657</v>
      </c>
      <c r="G1278" s="1">
        <v>26779</v>
      </c>
      <c r="H1278" s="1">
        <v>92693</v>
      </c>
      <c r="M1278" t="s">
        <v>1018</v>
      </c>
      <c r="N1278" t="s">
        <v>1599</v>
      </c>
    </row>
    <row r="1279" spans="1:14" x14ac:dyDescent="0.25">
      <c r="A1279" t="s">
        <v>1019</v>
      </c>
      <c r="B1279" t="str">
        <f t="shared" si="38"/>
        <v>p__Desulfobacterota</v>
      </c>
      <c r="C1279" s="1">
        <v>8</v>
      </c>
      <c r="D1279" s="3">
        <v>1854867</v>
      </c>
      <c r="E1279" s="3">
        <f t="shared" si="39"/>
        <v>1.854867</v>
      </c>
      <c r="F1279" s="1">
        <v>128203</v>
      </c>
      <c r="G1279" s="2">
        <v>231858.4</v>
      </c>
      <c r="H1279" s="1">
        <v>560038</v>
      </c>
      <c r="M1279" t="s">
        <v>1019</v>
      </c>
      <c r="N1279" t="s">
        <v>1599</v>
      </c>
    </row>
    <row r="1280" spans="1:14" x14ac:dyDescent="0.25">
      <c r="A1280" t="s">
        <v>1020</v>
      </c>
      <c r="B1280" t="str">
        <f t="shared" si="38"/>
        <v>p__Desulfobacterota</v>
      </c>
      <c r="C1280" s="1">
        <v>39</v>
      </c>
      <c r="D1280" s="3">
        <v>1861915</v>
      </c>
      <c r="E1280" s="3">
        <f t="shared" si="39"/>
        <v>1.861915</v>
      </c>
      <c r="F1280" s="1">
        <v>2589</v>
      </c>
      <c r="G1280" s="2">
        <v>47741.4</v>
      </c>
      <c r="H1280" s="1">
        <v>220471</v>
      </c>
      <c r="M1280" t="s">
        <v>1020</v>
      </c>
      <c r="N1280" t="s">
        <v>1599</v>
      </c>
    </row>
    <row r="1281" spans="1:14" x14ac:dyDescent="0.25">
      <c r="A1281" t="s">
        <v>1021</v>
      </c>
      <c r="B1281" t="str">
        <f t="shared" si="38"/>
        <v>p__Desulfobacterota</v>
      </c>
      <c r="C1281" s="1">
        <v>260</v>
      </c>
      <c r="D1281" s="3">
        <v>2413801</v>
      </c>
      <c r="E1281" s="3">
        <f t="shared" si="39"/>
        <v>2.4138009999999999</v>
      </c>
      <c r="F1281" s="2">
        <v>2002</v>
      </c>
      <c r="G1281" s="1">
        <v>9283.9</v>
      </c>
      <c r="H1281" s="1">
        <v>150719</v>
      </c>
      <c r="M1281" t="s">
        <v>1021</v>
      </c>
      <c r="N1281" t="s">
        <v>1599</v>
      </c>
    </row>
    <row r="1282" spans="1:14" x14ac:dyDescent="0.25">
      <c r="A1282" t="s">
        <v>1022</v>
      </c>
      <c r="B1282" t="str">
        <f t="shared" ref="B1282:B1345" si="40">VLOOKUP(A1282,M:N,2,FALSE)</f>
        <v>p__Desulfobacterota</v>
      </c>
      <c r="C1282" s="1">
        <v>85</v>
      </c>
      <c r="D1282" s="3">
        <v>2057715</v>
      </c>
      <c r="E1282" s="3">
        <f t="shared" ref="E1282:E1345" si="41">D1282/1000000</f>
        <v>2.057715</v>
      </c>
      <c r="F1282" s="1">
        <v>2013</v>
      </c>
      <c r="G1282" s="2">
        <v>24208.400000000001</v>
      </c>
      <c r="H1282" s="1">
        <v>127517</v>
      </c>
      <c r="M1282" t="s">
        <v>1022</v>
      </c>
      <c r="N1282" t="s">
        <v>1599</v>
      </c>
    </row>
    <row r="1283" spans="1:14" x14ac:dyDescent="0.25">
      <c r="A1283" t="s">
        <v>1023</v>
      </c>
      <c r="B1283" t="str">
        <f t="shared" si="40"/>
        <v>p__Desulfobacterota</v>
      </c>
      <c r="C1283" s="1">
        <v>104</v>
      </c>
      <c r="D1283" s="3">
        <v>2869989</v>
      </c>
      <c r="E1283" s="3">
        <f t="shared" si="41"/>
        <v>2.8699889999999999</v>
      </c>
      <c r="F1283" s="1">
        <v>2005</v>
      </c>
      <c r="G1283" s="1">
        <v>27596</v>
      </c>
      <c r="H1283" s="1">
        <v>204867</v>
      </c>
      <c r="M1283" t="s">
        <v>1023</v>
      </c>
      <c r="N1283" t="s">
        <v>1599</v>
      </c>
    </row>
    <row r="1284" spans="1:14" x14ac:dyDescent="0.25">
      <c r="A1284" t="s">
        <v>1024</v>
      </c>
      <c r="B1284" t="str">
        <f t="shared" si="40"/>
        <v>p__Desulfobacterota</v>
      </c>
      <c r="C1284" s="1">
        <v>34</v>
      </c>
      <c r="D1284" s="3">
        <v>2108776</v>
      </c>
      <c r="E1284" s="3">
        <f t="shared" si="41"/>
        <v>2.1087760000000002</v>
      </c>
      <c r="F1284" s="1">
        <v>2008</v>
      </c>
      <c r="G1284" s="2">
        <v>62022.8</v>
      </c>
      <c r="H1284" s="1">
        <v>411625</v>
      </c>
      <c r="M1284" t="s">
        <v>1024</v>
      </c>
      <c r="N1284" t="s">
        <v>1599</v>
      </c>
    </row>
    <row r="1285" spans="1:14" x14ac:dyDescent="0.25">
      <c r="A1285" t="s">
        <v>1025</v>
      </c>
      <c r="B1285" t="str">
        <f t="shared" si="40"/>
        <v>p__Desulfobacterota</v>
      </c>
      <c r="C1285" s="1">
        <v>9</v>
      </c>
      <c r="D1285" s="3">
        <v>3867829</v>
      </c>
      <c r="E1285" s="3">
        <f t="shared" si="41"/>
        <v>3.867829</v>
      </c>
      <c r="F1285" s="1">
        <v>28202</v>
      </c>
      <c r="G1285" s="2">
        <v>429758.8</v>
      </c>
      <c r="H1285" s="1">
        <v>888781</v>
      </c>
      <c r="M1285" t="s">
        <v>1025</v>
      </c>
      <c r="N1285" t="s">
        <v>1599</v>
      </c>
    </row>
    <row r="1286" spans="1:14" x14ac:dyDescent="0.25">
      <c r="A1286" t="s">
        <v>1026</v>
      </c>
      <c r="B1286" t="str">
        <f t="shared" si="40"/>
        <v>p__Desulfobacterota</v>
      </c>
      <c r="C1286" s="1">
        <v>63</v>
      </c>
      <c r="D1286" s="3">
        <v>3462006</v>
      </c>
      <c r="E1286" s="3">
        <f t="shared" si="41"/>
        <v>3.4620060000000001</v>
      </c>
      <c r="F1286" s="1">
        <v>2000</v>
      </c>
      <c r="G1286" s="2">
        <v>54952.5</v>
      </c>
      <c r="H1286" s="1">
        <v>257330</v>
      </c>
      <c r="M1286" t="s">
        <v>1026</v>
      </c>
      <c r="N1286" t="s">
        <v>1599</v>
      </c>
    </row>
    <row r="1287" spans="1:14" x14ac:dyDescent="0.25">
      <c r="A1287" t="s">
        <v>1027</v>
      </c>
      <c r="B1287" t="str">
        <f t="shared" si="40"/>
        <v>p__Desulfobacterota</v>
      </c>
      <c r="C1287" s="1">
        <v>47</v>
      </c>
      <c r="D1287" s="3">
        <v>3086618</v>
      </c>
      <c r="E1287" s="3">
        <f t="shared" si="41"/>
        <v>3.0866180000000001</v>
      </c>
      <c r="F1287" s="1">
        <v>6430</v>
      </c>
      <c r="G1287" s="2">
        <v>65672.7</v>
      </c>
      <c r="H1287" s="1">
        <v>217072</v>
      </c>
      <c r="M1287" t="s">
        <v>1027</v>
      </c>
      <c r="N1287" t="s">
        <v>1599</v>
      </c>
    </row>
    <row r="1288" spans="1:14" x14ac:dyDescent="0.25">
      <c r="A1288" t="s">
        <v>1028</v>
      </c>
      <c r="B1288" t="str">
        <f t="shared" si="40"/>
        <v>p__Desulfobacterota</v>
      </c>
      <c r="C1288" s="1">
        <v>34</v>
      </c>
      <c r="D1288" s="3">
        <v>1487254</v>
      </c>
      <c r="E1288" s="3">
        <f t="shared" si="41"/>
        <v>1.4872540000000001</v>
      </c>
      <c r="F1288" s="1">
        <v>2723</v>
      </c>
      <c r="G1288" s="2">
        <v>43742.8</v>
      </c>
      <c r="H1288" s="1">
        <v>144731</v>
      </c>
      <c r="M1288" t="s">
        <v>1028</v>
      </c>
      <c r="N1288" t="s">
        <v>1599</v>
      </c>
    </row>
    <row r="1289" spans="1:14" x14ac:dyDescent="0.25">
      <c r="A1289" t="s">
        <v>1029</v>
      </c>
      <c r="B1289" t="str">
        <f t="shared" si="40"/>
        <v>p__Desulfobacterota</v>
      </c>
      <c r="C1289" s="1">
        <v>41</v>
      </c>
      <c r="D1289" s="3">
        <v>1572717</v>
      </c>
      <c r="E1289" s="3">
        <f t="shared" si="41"/>
        <v>1.5727169999999999</v>
      </c>
      <c r="F1289" s="1">
        <v>2464</v>
      </c>
      <c r="G1289" s="1">
        <v>38359</v>
      </c>
      <c r="H1289" s="1">
        <v>299352</v>
      </c>
      <c r="M1289" t="s">
        <v>1029</v>
      </c>
      <c r="N1289" t="s">
        <v>1599</v>
      </c>
    </row>
    <row r="1290" spans="1:14" x14ac:dyDescent="0.25">
      <c r="A1290" t="s">
        <v>1030</v>
      </c>
      <c r="B1290" t="str">
        <f t="shared" si="40"/>
        <v>p__Desulfobacterota</v>
      </c>
      <c r="C1290" s="1">
        <v>6</v>
      </c>
      <c r="D1290" s="3">
        <v>1142165</v>
      </c>
      <c r="E1290" s="3">
        <f t="shared" si="41"/>
        <v>1.1421650000000001</v>
      </c>
      <c r="F1290" s="1">
        <v>4197</v>
      </c>
      <c r="G1290" s="2">
        <v>190360.8</v>
      </c>
      <c r="H1290" s="1">
        <v>548569</v>
      </c>
      <c r="M1290" t="s">
        <v>1030</v>
      </c>
      <c r="N1290" t="s">
        <v>1599</v>
      </c>
    </row>
    <row r="1291" spans="1:14" x14ac:dyDescent="0.25">
      <c r="A1291" t="s">
        <v>1473</v>
      </c>
      <c r="B1291" t="str">
        <f t="shared" si="40"/>
        <v>p__Desulfobacterota</v>
      </c>
      <c r="C1291" s="1">
        <v>387</v>
      </c>
      <c r="D1291" s="3">
        <v>1614494</v>
      </c>
      <c r="E1291" s="3">
        <f t="shared" si="41"/>
        <v>1.6144940000000001</v>
      </c>
      <c r="F1291" s="2">
        <v>2005</v>
      </c>
      <c r="G1291" s="1">
        <v>4171.8</v>
      </c>
      <c r="H1291" s="1">
        <v>34938</v>
      </c>
      <c r="M1291" t="s">
        <v>1473</v>
      </c>
      <c r="N1291" t="s">
        <v>1599</v>
      </c>
    </row>
    <row r="1292" spans="1:14" x14ac:dyDescent="0.25">
      <c r="A1292" t="s">
        <v>1474</v>
      </c>
      <c r="B1292" t="str">
        <f t="shared" si="40"/>
        <v>p__Desulfobacterota</v>
      </c>
      <c r="C1292" s="1">
        <v>21</v>
      </c>
      <c r="D1292" s="3">
        <v>1926042</v>
      </c>
      <c r="E1292" s="3">
        <f t="shared" si="41"/>
        <v>1.926042</v>
      </c>
      <c r="F1292" s="1">
        <v>2139</v>
      </c>
      <c r="G1292" s="2">
        <v>91716.3</v>
      </c>
      <c r="H1292" s="1">
        <v>416356</v>
      </c>
      <c r="M1292" t="s">
        <v>1474</v>
      </c>
      <c r="N1292" t="s">
        <v>1599</v>
      </c>
    </row>
    <row r="1293" spans="1:14" x14ac:dyDescent="0.25">
      <c r="A1293" t="s">
        <v>1475</v>
      </c>
      <c r="B1293" t="str">
        <f t="shared" si="40"/>
        <v>p__Desulfobacterota</v>
      </c>
      <c r="C1293" s="1">
        <v>26</v>
      </c>
      <c r="D1293" s="3">
        <v>2498012</v>
      </c>
      <c r="E1293" s="3">
        <f t="shared" si="41"/>
        <v>2.4980120000000001</v>
      </c>
      <c r="F1293" s="1">
        <v>2504</v>
      </c>
      <c r="G1293" s="2">
        <v>96077.4</v>
      </c>
      <c r="H1293" s="1">
        <v>586352</v>
      </c>
      <c r="M1293" t="s">
        <v>1475</v>
      </c>
      <c r="N1293" t="s">
        <v>1599</v>
      </c>
    </row>
    <row r="1294" spans="1:14" x14ac:dyDescent="0.25">
      <c r="A1294" t="s">
        <v>1476</v>
      </c>
      <c r="B1294" t="str">
        <f t="shared" si="40"/>
        <v>p__Desulfobacterota</v>
      </c>
      <c r="C1294" s="1">
        <v>9</v>
      </c>
      <c r="D1294" s="3">
        <v>2159801</v>
      </c>
      <c r="E1294" s="3">
        <f t="shared" si="41"/>
        <v>2.1598009999999999</v>
      </c>
      <c r="F1294" s="1">
        <v>33744</v>
      </c>
      <c r="G1294" s="2">
        <v>239977.9</v>
      </c>
      <c r="H1294" s="1">
        <v>585836</v>
      </c>
      <c r="M1294" t="s">
        <v>1476</v>
      </c>
      <c r="N1294" t="s">
        <v>1599</v>
      </c>
    </row>
    <row r="1295" spans="1:14" x14ac:dyDescent="0.25">
      <c r="A1295" t="s">
        <v>1477</v>
      </c>
      <c r="B1295" t="str">
        <f t="shared" si="40"/>
        <v>p__Desulfobacterota</v>
      </c>
      <c r="C1295" s="1">
        <v>36</v>
      </c>
      <c r="D1295" s="3">
        <v>2280067</v>
      </c>
      <c r="E1295" s="3">
        <f t="shared" si="41"/>
        <v>2.2800669999999998</v>
      </c>
      <c r="F1295" s="1">
        <v>8328</v>
      </c>
      <c r="G1295" s="2">
        <v>63335.199999999997</v>
      </c>
      <c r="H1295" s="1">
        <v>358025</v>
      </c>
      <c r="M1295" t="s">
        <v>1477</v>
      </c>
      <c r="N1295" t="s">
        <v>1599</v>
      </c>
    </row>
    <row r="1296" spans="1:14" x14ac:dyDescent="0.25">
      <c r="A1296" t="s">
        <v>1478</v>
      </c>
      <c r="B1296" t="str">
        <f t="shared" si="40"/>
        <v>p__Desulfobacterota</v>
      </c>
      <c r="C1296" s="1">
        <v>15</v>
      </c>
      <c r="D1296" s="3">
        <v>2098403</v>
      </c>
      <c r="E1296" s="3">
        <f t="shared" si="41"/>
        <v>2.0984029999999998</v>
      </c>
      <c r="F1296" s="1">
        <v>11608</v>
      </c>
      <c r="G1296" s="2">
        <v>139893.5</v>
      </c>
      <c r="H1296" s="1">
        <v>269734</v>
      </c>
      <c r="M1296" t="s">
        <v>1478</v>
      </c>
      <c r="N1296" t="s">
        <v>1599</v>
      </c>
    </row>
    <row r="1297" spans="1:14" x14ac:dyDescent="0.25">
      <c r="A1297" t="s">
        <v>1479</v>
      </c>
      <c r="B1297" t="str">
        <f t="shared" si="40"/>
        <v>p__Desulfobacterota</v>
      </c>
      <c r="C1297" s="1">
        <v>34</v>
      </c>
      <c r="D1297" s="3">
        <v>2313801</v>
      </c>
      <c r="E1297" s="3">
        <f t="shared" si="41"/>
        <v>2.3138010000000002</v>
      </c>
      <c r="F1297" s="1">
        <v>2046</v>
      </c>
      <c r="G1297" s="1">
        <v>68053</v>
      </c>
      <c r="H1297" s="1">
        <v>282236</v>
      </c>
      <c r="M1297" t="s">
        <v>1479</v>
      </c>
      <c r="N1297" t="s">
        <v>1599</v>
      </c>
    </row>
    <row r="1298" spans="1:14" x14ac:dyDescent="0.25">
      <c r="A1298" t="s">
        <v>1480</v>
      </c>
      <c r="B1298" t="str">
        <f t="shared" si="40"/>
        <v>p__Desulfobacterota</v>
      </c>
      <c r="C1298" s="1">
        <v>17</v>
      </c>
      <c r="D1298" s="3">
        <v>2024944</v>
      </c>
      <c r="E1298" s="3">
        <f t="shared" si="41"/>
        <v>2.0249440000000001</v>
      </c>
      <c r="F1298" s="1">
        <v>2209</v>
      </c>
      <c r="G1298" s="2">
        <v>119114.4</v>
      </c>
      <c r="H1298" s="1">
        <v>432875</v>
      </c>
      <c r="M1298" t="s">
        <v>1480</v>
      </c>
      <c r="N1298" t="s">
        <v>1599</v>
      </c>
    </row>
    <row r="1299" spans="1:14" x14ac:dyDescent="0.25">
      <c r="A1299" t="s">
        <v>1481</v>
      </c>
      <c r="B1299" t="str">
        <f t="shared" si="40"/>
        <v>p__Desulfobacterota</v>
      </c>
      <c r="C1299" s="1">
        <v>34</v>
      </c>
      <c r="D1299" s="3">
        <v>1818403</v>
      </c>
      <c r="E1299" s="3">
        <f t="shared" si="41"/>
        <v>1.818403</v>
      </c>
      <c r="F1299" s="1">
        <v>6395</v>
      </c>
      <c r="G1299" s="2">
        <v>53482.400000000001</v>
      </c>
      <c r="H1299" s="1">
        <v>153207</v>
      </c>
      <c r="M1299" t="s">
        <v>1481</v>
      </c>
      <c r="N1299" t="s">
        <v>1599</v>
      </c>
    </row>
    <row r="1300" spans="1:14" x14ac:dyDescent="0.25">
      <c r="A1300" t="s">
        <v>1482</v>
      </c>
      <c r="B1300" t="str">
        <f t="shared" si="40"/>
        <v>p__Desulfobacterota</v>
      </c>
      <c r="C1300" s="1">
        <v>45</v>
      </c>
      <c r="D1300" s="3">
        <v>2603400</v>
      </c>
      <c r="E1300" s="3">
        <f t="shared" si="41"/>
        <v>2.6034000000000002</v>
      </c>
      <c r="F1300" s="1">
        <v>2006</v>
      </c>
      <c r="G1300" s="2">
        <v>57853.3</v>
      </c>
      <c r="H1300" s="1">
        <v>329016</v>
      </c>
      <c r="M1300" t="s">
        <v>1482</v>
      </c>
      <c r="N1300" t="s">
        <v>1599</v>
      </c>
    </row>
    <row r="1301" spans="1:14" x14ac:dyDescent="0.25">
      <c r="A1301" t="s">
        <v>1483</v>
      </c>
      <c r="B1301" t="str">
        <f t="shared" si="40"/>
        <v>p__Desulfobacterota</v>
      </c>
      <c r="C1301" s="1">
        <v>11</v>
      </c>
      <c r="D1301" s="3">
        <v>2265589</v>
      </c>
      <c r="E1301" s="3">
        <f t="shared" si="41"/>
        <v>2.2655889999999999</v>
      </c>
      <c r="F1301" s="1">
        <v>9186</v>
      </c>
      <c r="G1301" s="2">
        <v>205962.6</v>
      </c>
      <c r="H1301" s="1">
        <v>887436</v>
      </c>
      <c r="M1301" t="s">
        <v>1483</v>
      </c>
      <c r="N1301" t="s">
        <v>1599</v>
      </c>
    </row>
    <row r="1302" spans="1:14" x14ac:dyDescent="0.25">
      <c r="A1302" t="s">
        <v>1484</v>
      </c>
      <c r="B1302" t="str">
        <f t="shared" si="40"/>
        <v>p__Desulfobacterota</v>
      </c>
      <c r="C1302" s="1">
        <v>20</v>
      </c>
      <c r="D1302" s="3">
        <v>2305198</v>
      </c>
      <c r="E1302" s="3">
        <f t="shared" si="41"/>
        <v>2.3051979999999999</v>
      </c>
      <c r="F1302" s="1">
        <v>23392</v>
      </c>
      <c r="G1302" s="2">
        <v>115259.9</v>
      </c>
      <c r="H1302" s="1">
        <v>866236</v>
      </c>
      <c r="M1302" t="s">
        <v>1484</v>
      </c>
      <c r="N1302" t="s">
        <v>1599</v>
      </c>
    </row>
    <row r="1303" spans="1:14" x14ac:dyDescent="0.25">
      <c r="A1303" t="s">
        <v>1485</v>
      </c>
      <c r="B1303" t="str">
        <f t="shared" si="40"/>
        <v>p__Desulfobacterota</v>
      </c>
      <c r="C1303" s="1">
        <v>11</v>
      </c>
      <c r="D1303" s="3">
        <v>2762026</v>
      </c>
      <c r="E1303" s="3">
        <f t="shared" si="41"/>
        <v>2.7620260000000001</v>
      </c>
      <c r="F1303" s="1">
        <v>9176</v>
      </c>
      <c r="G1303" s="2">
        <v>251093.3</v>
      </c>
      <c r="H1303" s="1">
        <v>1116193</v>
      </c>
      <c r="M1303" t="s">
        <v>1485</v>
      </c>
      <c r="N1303" t="s">
        <v>1599</v>
      </c>
    </row>
    <row r="1304" spans="1:14" x14ac:dyDescent="0.25">
      <c r="A1304" t="s">
        <v>1486</v>
      </c>
      <c r="B1304" t="str">
        <f t="shared" si="40"/>
        <v>p__Desulfobacterota</v>
      </c>
      <c r="C1304" s="1">
        <v>194</v>
      </c>
      <c r="D1304" s="3">
        <v>3589554</v>
      </c>
      <c r="E1304" s="3">
        <f t="shared" si="41"/>
        <v>3.5895540000000001</v>
      </c>
      <c r="F1304" s="2">
        <v>2013</v>
      </c>
      <c r="G1304" s="1">
        <v>18502.900000000001</v>
      </c>
      <c r="H1304" s="1">
        <v>262356</v>
      </c>
      <c r="M1304" t="s">
        <v>1486</v>
      </c>
      <c r="N1304" t="s">
        <v>1599</v>
      </c>
    </row>
    <row r="1305" spans="1:14" x14ac:dyDescent="0.25">
      <c r="A1305" t="s">
        <v>1487</v>
      </c>
      <c r="B1305" t="str">
        <f t="shared" si="40"/>
        <v>p__Desulfobacterota</v>
      </c>
      <c r="C1305" s="1">
        <v>38</v>
      </c>
      <c r="D1305" s="3">
        <v>2465767</v>
      </c>
      <c r="E1305" s="3">
        <f t="shared" si="41"/>
        <v>2.465767</v>
      </c>
      <c r="F1305" s="1">
        <v>6195</v>
      </c>
      <c r="G1305" s="2">
        <v>64888.6</v>
      </c>
      <c r="H1305" s="1">
        <v>267144</v>
      </c>
      <c r="M1305" t="s">
        <v>1487</v>
      </c>
      <c r="N1305" t="s">
        <v>1599</v>
      </c>
    </row>
    <row r="1306" spans="1:14" x14ac:dyDescent="0.25">
      <c r="A1306" t="s">
        <v>1488</v>
      </c>
      <c r="B1306" t="str">
        <f t="shared" si="40"/>
        <v>p__Desulfobacterota</v>
      </c>
      <c r="C1306" s="1">
        <v>120</v>
      </c>
      <c r="D1306" s="3">
        <v>2882070</v>
      </c>
      <c r="E1306" s="3">
        <f t="shared" si="41"/>
        <v>2.8820700000000001</v>
      </c>
      <c r="F1306" s="2">
        <v>2013</v>
      </c>
      <c r="G1306" s="1">
        <v>24017.3</v>
      </c>
      <c r="H1306" s="1">
        <v>237106</v>
      </c>
      <c r="M1306" t="s">
        <v>1488</v>
      </c>
      <c r="N1306" t="s">
        <v>1599</v>
      </c>
    </row>
    <row r="1307" spans="1:14" x14ac:dyDescent="0.25">
      <c r="A1307" t="s">
        <v>1489</v>
      </c>
      <c r="B1307" t="str">
        <f t="shared" si="40"/>
        <v>p__Desulfobacterota</v>
      </c>
      <c r="C1307" s="1">
        <v>41</v>
      </c>
      <c r="D1307" s="3">
        <v>3608344</v>
      </c>
      <c r="E1307" s="3">
        <f t="shared" si="41"/>
        <v>3.6083440000000002</v>
      </c>
      <c r="F1307" s="1">
        <v>2050</v>
      </c>
      <c r="G1307" s="2">
        <v>88008.4</v>
      </c>
      <c r="H1307" s="1">
        <v>370904</v>
      </c>
      <c r="M1307" t="s">
        <v>1489</v>
      </c>
      <c r="N1307" t="s">
        <v>1599</v>
      </c>
    </row>
    <row r="1308" spans="1:14" x14ac:dyDescent="0.25">
      <c r="A1308" t="s">
        <v>1490</v>
      </c>
      <c r="B1308" t="str">
        <f t="shared" si="40"/>
        <v>p__Desulfobacterota</v>
      </c>
      <c r="C1308" s="1">
        <v>15</v>
      </c>
      <c r="D1308" s="3">
        <v>3190593</v>
      </c>
      <c r="E1308" s="3">
        <f t="shared" si="41"/>
        <v>3.1905929999999998</v>
      </c>
      <c r="F1308" s="1">
        <v>2398</v>
      </c>
      <c r="G1308" s="2">
        <v>212706.2</v>
      </c>
      <c r="H1308" s="1">
        <v>849610</v>
      </c>
      <c r="M1308" t="s">
        <v>1490</v>
      </c>
      <c r="N1308" t="s">
        <v>1599</v>
      </c>
    </row>
    <row r="1309" spans="1:14" x14ac:dyDescent="0.25">
      <c r="A1309" t="s">
        <v>1491</v>
      </c>
      <c r="B1309" t="str">
        <f t="shared" si="40"/>
        <v>p__Desulfobacterota</v>
      </c>
      <c r="C1309" s="1">
        <v>76</v>
      </c>
      <c r="D1309" s="3">
        <v>2331163</v>
      </c>
      <c r="E1309" s="3">
        <f t="shared" si="41"/>
        <v>2.3311630000000001</v>
      </c>
      <c r="F1309" s="1">
        <v>2030</v>
      </c>
      <c r="G1309" s="2">
        <v>30673.200000000001</v>
      </c>
      <c r="H1309" s="1">
        <v>258593</v>
      </c>
      <c r="M1309" t="s">
        <v>1491</v>
      </c>
      <c r="N1309" t="s">
        <v>1599</v>
      </c>
    </row>
    <row r="1310" spans="1:14" x14ac:dyDescent="0.25">
      <c r="A1310" t="s">
        <v>1492</v>
      </c>
      <c r="B1310" t="str">
        <f t="shared" si="40"/>
        <v>p__Desulfobacterota</v>
      </c>
      <c r="C1310" s="1">
        <v>9</v>
      </c>
      <c r="D1310" s="3">
        <v>2996745</v>
      </c>
      <c r="E1310" s="3">
        <f t="shared" si="41"/>
        <v>2.9967450000000002</v>
      </c>
      <c r="F1310" s="1">
        <v>15196</v>
      </c>
      <c r="G1310" s="2">
        <v>332971.7</v>
      </c>
      <c r="H1310" s="1">
        <v>789097</v>
      </c>
      <c r="M1310" t="s">
        <v>1492</v>
      </c>
      <c r="N1310" t="s">
        <v>1599</v>
      </c>
    </row>
    <row r="1311" spans="1:14" x14ac:dyDescent="0.25">
      <c r="A1311" t="s">
        <v>1493</v>
      </c>
      <c r="B1311" t="str">
        <f t="shared" si="40"/>
        <v>p__Desulfobacterota</v>
      </c>
      <c r="C1311" s="1">
        <v>16</v>
      </c>
      <c r="D1311" s="3">
        <v>3168669</v>
      </c>
      <c r="E1311" s="3">
        <f t="shared" si="41"/>
        <v>3.168669</v>
      </c>
      <c r="F1311" s="1">
        <v>5084</v>
      </c>
      <c r="G1311" s="2">
        <v>198041.8</v>
      </c>
      <c r="H1311" s="1">
        <v>708964</v>
      </c>
      <c r="M1311" t="s">
        <v>1493</v>
      </c>
      <c r="N1311" t="s">
        <v>1599</v>
      </c>
    </row>
    <row r="1312" spans="1:14" x14ac:dyDescent="0.25">
      <c r="A1312" t="s">
        <v>1494</v>
      </c>
      <c r="B1312" t="str">
        <f t="shared" si="40"/>
        <v>p__Desulfobacterota</v>
      </c>
      <c r="C1312" s="1">
        <v>15</v>
      </c>
      <c r="D1312" s="3">
        <v>2437924</v>
      </c>
      <c r="E1312" s="3">
        <f t="shared" si="41"/>
        <v>2.4379240000000002</v>
      </c>
      <c r="F1312" s="1">
        <v>22834</v>
      </c>
      <c r="G1312" s="2">
        <v>162528.29999999999</v>
      </c>
      <c r="H1312" s="1">
        <v>378686</v>
      </c>
      <c r="M1312" t="s">
        <v>1494</v>
      </c>
      <c r="N1312" t="s">
        <v>1599</v>
      </c>
    </row>
    <row r="1313" spans="1:14" x14ac:dyDescent="0.25">
      <c r="A1313" t="s">
        <v>1495</v>
      </c>
      <c r="B1313" t="str">
        <f t="shared" si="40"/>
        <v>p__Desulfobacterota</v>
      </c>
      <c r="C1313" s="1">
        <v>66</v>
      </c>
      <c r="D1313" s="3">
        <v>2655352</v>
      </c>
      <c r="E1313" s="3">
        <f t="shared" si="41"/>
        <v>2.6553520000000002</v>
      </c>
      <c r="F1313" s="1">
        <v>2017</v>
      </c>
      <c r="G1313" s="2">
        <v>40232.6</v>
      </c>
      <c r="H1313" s="1">
        <v>250371</v>
      </c>
      <c r="M1313" t="s">
        <v>1495</v>
      </c>
      <c r="N1313" t="s">
        <v>1599</v>
      </c>
    </row>
    <row r="1314" spans="1:14" x14ac:dyDescent="0.25">
      <c r="A1314" t="s">
        <v>1496</v>
      </c>
      <c r="B1314" t="str">
        <f t="shared" si="40"/>
        <v>p__Desulfobacterota</v>
      </c>
      <c r="C1314" s="1">
        <v>77</v>
      </c>
      <c r="D1314" s="3">
        <v>1801690</v>
      </c>
      <c r="E1314" s="3">
        <f t="shared" si="41"/>
        <v>1.80169</v>
      </c>
      <c r="F1314" s="1">
        <v>2003</v>
      </c>
      <c r="G1314" s="2">
        <v>23398.6</v>
      </c>
      <c r="H1314" s="1">
        <v>143283</v>
      </c>
      <c r="M1314" t="s">
        <v>1496</v>
      </c>
      <c r="N1314" t="s">
        <v>1599</v>
      </c>
    </row>
    <row r="1315" spans="1:14" x14ac:dyDescent="0.25">
      <c r="A1315" t="s">
        <v>1497</v>
      </c>
      <c r="B1315" t="str">
        <f t="shared" si="40"/>
        <v>p__Desulfobacterota</v>
      </c>
      <c r="C1315" s="1">
        <v>29</v>
      </c>
      <c r="D1315" s="3">
        <v>1372651</v>
      </c>
      <c r="E1315" s="3">
        <f t="shared" si="41"/>
        <v>1.3726510000000001</v>
      </c>
      <c r="F1315" s="1">
        <v>2591</v>
      </c>
      <c r="G1315" s="2">
        <v>47332.800000000003</v>
      </c>
      <c r="H1315" s="1">
        <v>319752</v>
      </c>
      <c r="M1315" t="s">
        <v>1497</v>
      </c>
      <c r="N1315" t="s">
        <v>1599</v>
      </c>
    </row>
    <row r="1316" spans="1:14" x14ac:dyDescent="0.25">
      <c r="A1316" t="s">
        <v>1498</v>
      </c>
      <c r="B1316" t="str">
        <f t="shared" si="40"/>
        <v>p__Desulfobacterota</v>
      </c>
      <c r="C1316" s="1">
        <v>52</v>
      </c>
      <c r="D1316" s="3">
        <v>1640937</v>
      </c>
      <c r="E1316" s="3">
        <f t="shared" si="41"/>
        <v>1.6409370000000001</v>
      </c>
      <c r="F1316" s="1">
        <v>3736</v>
      </c>
      <c r="G1316" s="2">
        <v>31556.5</v>
      </c>
      <c r="H1316" s="1">
        <v>86902</v>
      </c>
      <c r="M1316" t="s">
        <v>1498</v>
      </c>
      <c r="N1316" t="s">
        <v>1599</v>
      </c>
    </row>
    <row r="1317" spans="1:14" x14ac:dyDescent="0.25">
      <c r="A1317" t="s">
        <v>1499</v>
      </c>
      <c r="B1317" t="str">
        <f t="shared" si="40"/>
        <v>p__Desulfobacterota</v>
      </c>
      <c r="C1317" s="1">
        <v>8</v>
      </c>
      <c r="D1317" s="3">
        <v>3897392</v>
      </c>
      <c r="E1317" s="3">
        <f t="shared" si="41"/>
        <v>3.897392</v>
      </c>
      <c r="F1317" s="1">
        <v>134673</v>
      </c>
      <c r="G1317" s="1">
        <v>487174</v>
      </c>
      <c r="H1317" s="1">
        <v>837078</v>
      </c>
      <c r="M1317" t="s">
        <v>1499</v>
      </c>
      <c r="N1317" t="s">
        <v>1599</v>
      </c>
    </row>
    <row r="1318" spans="1:14" x14ac:dyDescent="0.25">
      <c r="A1318" t="s">
        <v>1500</v>
      </c>
      <c r="B1318" t="str">
        <f t="shared" si="40"/>
        <v>p__Desulfobacterota</v>
      </c>
      <c r="C1318" s="1">
        <v>21</v>
      </c>
      <c r="D1318" s="3">
        <v>2450877</v>
      </c>
      <c r="E1318" s="3">
        <f t="shared" si="41"/>
        <v>2.4508770000000002</v>
      </c>
      <c r="F1318" s="1">
        <v>11359</v>
      </c>
      <c r="G1318" s="2">
        <v>116708.4</v>
      </c>
      <c r="H1318" s="1">
        <v>385193</v>
      </c>
      <c r="M1318" t="s">
        <v>1500</v>
      </c>
      <c r="N1318" t="s">
        <v>1599</v>
      </c>
    </row>
    <row r="1319" spans="1:14" x14ac:dyDescent="0.25">
      <c r="A1319" t="s">
        <v>1501</v>
      </c>
      <c r="B1319" t="str">
        <f t="shared" si="40"/>
        <v>p__Desulfobacterota</v>
      </c>
      <c r="C1319" s="1">
        <v>96</v>
      </c>
      <c r="D1319" s="3">
        <v>2840580</v>
      </c>
      <c r="E1319" s="3">
        <f t="shared" si="41"/>
        <v>2.8405800000000001</v>
      </c>
      <c r="F1319" s="1">
        <v>2062</v>
      </c>
      <c r="G1319" s="2">
        <v>29589.4</v>
      </c>
      <c r="H1319" s="1">
        <v>176712</v>
      </c>
      <c r="M1319" t="s">
        <v>1501</v>
      </c>
      <c r="N1319" t="s">
        <v>1599</v>
      </c>
    </row>
    <row r="1320" spans="1:14" x14ac:dyDescent="0.25">
      <c r="A1320" t="s">
        <v>1502</v>
      </c>
      <c r="B1320" t="str">
        <f t="shared" si="40"/>
        <v>p__Desulfobacterota</v>
      </c>
      <c r="C1320" s="1">
        <v>92</v>
      </c>
      <c r="D1320" s="3">
        <v>2141218</v>
      </c>
      <c r="E1320" s="3">
        <f t="shared" si="41"/>
        <v>2.1412179999999998</v>
      </c>
      <c r="F1320" s="1">
        <v>2023</v>
      </c>
      <c r="G1320" s="2">
        <v>23274.1</v>
      </c>
      <c r="H1320" s="1">
        <v>135983</v>
      </c>
      <c r="M1320" t="s">
        <v>1502</v>
      </c>
      <c r="N1320" t="s">
        <v>1599</v>
      </c>
    </row>
    <row r="1321" spans="1:14" x14ac:dyDescent="0.25">
      <c r="A1321" t="s">
        <v>1503</v>
      </c>
      <c r="B1321" t="str">
        <f t="shared" si="40"/>
        <v>p__Desulfobacterota</v>
      </c>
      <c r="C1321" s="1">
        <v>88</v>
      </c>
      <c r="D1321" s="3">
        <v>3167554</v>
      </c>
      <c r="E1321" s="3">
        <f t="shared" si="41"/>
        <v>3.167554</v>
      </c>
      <c r="F1321" s="1">
        <v>2016</v>
      </c>
      <c r="G1321" s="2">
        <v>35994.9</v>
      </c>
      <c r="H1321" s="1">
        <v>150158</v>
      </c>
      <c r="M1321" t="s">
        <v>1503</v>
      </c>
      <c r="N1321" t="s">
        <v>1599</v>
      </c>
    </row>
    <row r="1322" spans="1:14" x14ac:dyDescent="0.25">
      <c r="A1322" t="s">
        <v>182</v>
      </c>
      <c r="B1322" t="str">
        <f t="shared" si="40"/>
        <v>p__Elusimicrobiota</v>
      </c>
      <c r="C1322" s="1">
        <v>381</v>
      </c>
      <c r="D1322" s="3">
        <v>1492699</v>
      </c>
      <c r="E1322" s="3">
        <f t="shared" si="41"/>
        <v>1.492699</v>
      </c>
      <c r="F1322" s="2">
        <v>2002</v>
      </c>
      <c r="G1322" s="1">
        <v>3917.8</v>
      </c>
      <c r="H1322" s="1">
        <v>36381</v>
      </c>
      <c r="M1322" t="s">
        <v>182</v>
      </c>
      <c r="N1322" t="s">
        <v>1600</v>
      </c>
    </row>
    <row r="1323" spans="1:14" x14ac:dyDescent="0.25">
      <c r="A1323" t="s">
        <v>603</v>
      </c>
      <c r="B1323" t="str">
        <f t="shared" si="40"/>
        <v>p__Elusimicrobiota</v>
      </c>
      <c r="C1323" s="1">
        <v>6</v>
      </c>
      <c r="D1323" s="3">
        <v>1056722</v>
      </c>
      <c r="E1323" s="3">
        <f t="shared" si="41"/>
        <v>1.0567219999999999</v>
      </c>
      <c r="F1323" s="1">
        <v>25667</v>
      </c>
      <c r="G1323" s="2">
        <v>176120.3</v>
      </c>
      <c r="H1323" s="1">
        <v>335887</v>
      </c>
      <c r="M1323" t="s">
        <v>603</v>
      </c>
      <c r="N1323" t="s">
        <v>1600</v>
      </c>
    </row>
    <row r="1324" spans="1:14" x14ac:dyDescent="0.25">
      <c r="A1324" t="s">
        <v>604</v>
      </c>
      <c r="B1324" t="str">
        <f t="shared" si="40"/>
        <v>p__Elusimicrobiota</v>
      </c>
      <c r="C1324" s="1">
        <v>14</v>
      </c>
      <c r="D1324" s="3">
        <v>1592029</v>
      </c>
      <c r="E1324" s="3">
        <f t="shared" si="41"/>
        <v>1.5920289999999999</v>
      </c>
      <c r="F1324" s="1">
        <v>2091</v>
      </c>
      <c r="G1324" s="2">
        <v>113716.4</v>
      </c>
      <c r="H1324" s="1">
        <v>534270</v>
      </c>
      <c r="M1324" t="s">
        <v>604</v>
      </c>
      <c r="N1324" t="s">
        <v>1600</v>
      </c>
    </row>
    <row r="1325" spans="1:14" x14ac:dyDescent="0.25">
      <c r="A1325" t="s">
        <v>605</v>
      </c>
      <c r="B1325" t="str">
        <f t="shared" si="40"/>
        <v>p__Elusimicrobiota</v>
      </c>
      <c r="C1325" s="1">
        <v>111</v>
      </c>
      <c r="D1325" s="3">
        <v>792729</v>
      </c>
      <c r="E1325" s="3">
        <f t="shared" si="41"/>
        <v>0.79272900000000002</v>
      </c>
      <c r="F1325" s="2">
        <v>2039</v>
      </c>
      <c r="G1325" s="1">
        <v>7141.7</v>
      </c>
      <c r="H1325" s="1">
        <v>83817</v>
      </c>
      <c r="M1325" t="s">
        <v>605</v>
      </c>
      <c r="N1325" t="s">
        <v>1600</v>
      </c>
    </row>
    <row r="1326" spans="1:14" x14ac:dyDescent="0.25">
      <c r="A1326" t="s">
        <v>606</v>
      </c>
      <c r="B1326" t="str">
        <f t="shared" si="40"/>
        <v>p__Elusimicrobiota</v>
      </c>
      <c r="C1326" s="1">
        <v>15</v>
      </c>
      <c r="D1326" s="3">
        <v>1347268</v>
      </c>
      <c r="E1326" s="3">
        <f t="shared" si="41"/>
        <v>1.3472679999999999</v>
      </c>
      <c r="F1326" s="1">
        <v>2560</v>
      </c>
      <c r="G1326" s="2">
        <v>89817.9</v>
      </c>
      <c r="H1326" s="1">
        <v>317310</v>
      </c>
      <c r="M1326" t="s">
        <v>606</v>
      </c>
      <c r="N1326" t="s">
        <v>1600</v>
      </c>
    </row>
    <row r="1327" spans="1:14" x14ac:dyDescent="0.25">
      <c r="A1327" t="s">
        <v>1031</v>
      </c>
      <c r="B1327" t="str">
        <f t="shared" si="40"/>
        <v>p__Elusimicrobiota</v>
      </c>
      <c r="C1327" s="1">
        <v>64</v>
      </c>
      <c r="D1327" s="3">
        <v>2554987</v>
      </c>
      <c r="E1327" s="3">
        <f t="shared" si="41"/>
        <v>2.5549870000000001</v>
      </c>
      <c r="F1327" s="1">
        <v>2023</v>
      </c>
      <c r="G1327" s="2">
        <v>39921.699999999997</v>
      </c>
      <c r="H1327" s="1">
        <v>386531</v>
      </c>
      <c r="M1327" t="s">
        <v>1031</v>
      </c>
      <c r="N1327" t="s">
        <v>1600</v>
      </c>
    </row>
    <row r="1328" spans="1:14" x14ac:dyDescent="0.25">
      <c r="A1328" t="s">
        <v>1032</v>
      </c>
      <c r="B1328" t="str">
        <f t="shared" si="40"/>
        <v>p__Elusimicrobiota</v>
      </c>
      <c r="C1328" s="1">
        <v>30</v>
      </c>
      <c r="D1328" s="3">
        <v>1932609</v>
      </c>
      <c r="E1328" s="3">
        <f t="shared" si="41"/>
        <v>1.932609</v>
      </c>
      <c r="F1328" s="1">
        <v>3652</v>
      </c>
      <c r="G1328" s="2">
        <v>64420.3</v>
      </c>
      <c r="H1328" s="1">
        <v>419107</v>
      </c>
      <c r="M1328" t="s">
        <v>1032</v>
      </c>
      <c r="N1328" t="s">
        <v>1600</v>
      </c>
    </row>
    <row r="1329" spans="1:14" x14ac:dyDescent="0.25">
      <c r="A1329" t="s">
        <v>1033</v>
      </c>
      <c r="B1329" t="str">
        <f t="shared" si="40"/>
        <v>p__Elusimicrobiota</v>
      </c>
      <c r="C1329" s="1">
        <v>9</v>
      </c>
      <c r="D1329" s="3">
        <v>1063471</v>
      </c>
      <c r="E1329" s="3">
        <f t="shared" si="41"/>
        <v>1.0634710000000001</v>
      </c>
      <c r="F1329" s="1">
        <v>34155</v>
      </c>
      <c r="G1329" s="2">
        <v>118163.4</v>
      </c>
      <c r="H1329" s="1">
        <v>356303</v>
      </c>
      <c r="M1329" t="s">
        <v>1033</v>
      </c>
      <c r="N1329" t="s">
        <v>1600</v>
      </c>
    </row>
    <row r="1330" spans="1:14" x14ac:dyDescent="0.25">
      <c r="A1330" t="s">
        <v>1504</v>
      </c>
      <c r="B1330" t="str">
        <f t="shared" si="40"/>
        <v>p__Elusimicrobiota</v>
      </c>
      <c r="C1330" s="1">
        <v>3</v>
      </c>
      <c r="D1330" s="3">
        <v>1946852</v>
      </c>
      <c r="E1330" s="3">
        <f t="shared" si="41"/>
        <v>1.946852</v>
      </c>
      <c r="F1330" s="1">
        <v>256960</v>
      </c>
      <c r="G1330" s="2">
        <v>648950.69999999995</v>
      </c>
      <c r="H1330" s="1">
        <v>1248048</v>
      </c>
      <c r="M1330" t="s">
        <v>1504</v>
      </c>
      <c r="N1330" t="s">
        <v>1600</v>
      </c>
    </row>
    <row r="1331" spans="1:14" x14ac:dyDescent="0.25">
      <c r="A1331" t="s">
        <v>1505</v>
      </c>
      <c r="B1331" t="str">
        <f t="shared" si="40"/>
        <v>p__Elusimicrobiota</v>
      </c>
      <c r="C1331" s="1">
        <v>1</v>
      </c>
      <c r="D1331" s="3">
        <v>2043230</v>
      </c>
      <c r="E1331" s="3">
        <f t="shared" si="41"/>
        <v>2.0432299999999999</v>
      </c>
      <c r="F1331" s="1">
        <v>2043230</v>
      </c>
      <c r="G1331" s="1">
        <v>2043230</v>
      </c>
      <c r="H1331" s="1">
        <v>2043230</v>
      </c>
      <c r="M1331" t="s">
        <v>1505</v>
      </c>
      <c r="N1331" t="s">
        <v>1600</v>
      </c>
    </row>
    <row r="1332" spans="1:14" x14ac:dyDescent="0.25">
      <c r="A1332" t="s">
        <v>1506</v>
      </c>
      <c r="B1332" t="str">
        <f t="shared" si="40"/>
        <v>p__Elusimicrobiota</v>
      </c>
      <c r="C1332" s="1">
        <v>1</v>
      </c>
      <c r="D1332" s="3">
        <v>1598499</v>
      </c>
      <c r="E1332" s="3">
        <f t="shared" si="41"/>
        <v>1.5984989999999999</v>
      </c>
      <c r="F1332" s="1">
        <v>1598499</v>
      </c>
      <c r="G1332" s="1">
        <v>1598499</v>
      </c>
      <c r="H1332" s="1">
        <v>1598499</v>
      </c>
      <c r="M1332" t="s">
        <v>1506</v>
      </c>
      <c r="N1332" t="s">
        <v>1600</v>
      </c>
    </row>
    <row r="1333" spans="1:14" x14ac:dyDescent="0.25">
      <c r="A1333" t="s">
        <v>1507</v>
      </c>
      <c r="B1333" t="str">
        <f t="shared" si="40"/>
        <v>p__Elusimicrobiota</v>
      </c>
      <c r="C1333" s="1">
        <v>176</v>
      </c>
      <c r="D1333" s="3">
        <v>2717786</v>
      </c>
      <c r="E1333" s="3">
        <f t="shared" si="41"/>
        <v>2.7177859999999998</v>
      </c>
      <c r="F1333" s="1">
        <v>2019</v>
      </c>
      <c r="G1333" s="1">
        <v>15442</v>
      </c>
      <c r="H1333" s="1">
        <v>163826</v>
      </c>
      <c r="M1333" t="s">
        <v>1507</v>
      </c>
      <c r="N1333" t="s">
        <v>1600</v>
      </c>
    </row>
    <row r="1334" spans="1:14" x14ac:dyDescent="0.25">
      <c r="A1334" t="s">
        <v>1508</v>
      </c>
      <c r="B1334" t="str">
        <f t="shared" si="40"/>
        <v>p__Elusimicrobiota</v>
      </c>
      <c r="C1334" s="1">
        <v>6</v>
      </c>
      <c r="D1334" s="3">
        <v>1569195</v>
      </c>
      <c r="E1334" s="3">
        <f t="shared" si="41"/>
        <v>1.5691949999999999</v>
      </c>
      <c r="F1334" s="1">
        <v>10607</v>
      </c>
      <c r="G1334" s="2">
        <v>261532.5</v>
      </c>
      <c r="H1334" s="1">
        <v>1448090</v>
      </c>
      <c r="M1334" t="s">
        <v>1508</v>
      </c>
      <c r="N1334" t="s">
        <v>1600</v>
      </c>
    </row>
    <row r="1335" spans="1:14" x14ac:dyDescent="0.25">
      <c r="A1335" t="s">
        <v>1509</v>
      </c>
      <c r="B1335" t="str">
        <f t="shared" si="40"/>
        <v>p__Elusimicrobiota</v>
      </c>
      <c r="C1335" s="1">
        <v>2</v>
      </c>
      <c r="D1335" s="3">
        <v>1923943</v>
      </c>
      <c r="E1335" s="3">
        <f t="shared" si="41"/>
        <v>1.923943</v>
      </c>
      <c r="F1335" s="1">
        <v>48977</v>
      </c>
      <c r="G1335" s="2">
        <v>961971.5</v>
      </c>
      <c r="H1335" s="1">
        <v>1874966</v>
      </c>
      <c r="M1335" t="s">
        <v>1509</v>
      </c>
      <c r="N1335" t="s">
        <v>1600</v>
      </c>
    </row>
    <row r="1336" spans="1:14" x14ac:dyDescent="0.25">
      <c r="A1336" t="s">
        <v>607</v>
      </c>
      <c r="B1336" t="str">
        <f t="shared" si="40"/>
        <v>p__Eremiobacterota</v>
      </c>
      <c r="C1336" s="1">
        <v>198</v>
      </c>
      <c r="D1336" s="3">
        <v>2844495</v>
      </c>
      <c r="E1336" s="3">
        <f t="shared" si="41"/>
        <v>2.8444950000000002</v>
      </c>
      <c r="F1336" s="2">
        <v>2521</v>
      </c>
      <c r="G1336" s="1">
        <v>14366.1</v>
      </c>
      <c r="H1336" s="1">
        <v>109826</v>
      </c>
      <c r="M1336" t="s">
        <v>607</v>
      </c>
      <c r="N1336" t="s">
        <v>1601</v>
      </c>
    </row>
    <row r="1337" spans="1:14" x14ac:dyDescent="0.25">
      <c r="A1337" t="s">
        <v>1034</v>
      </c>
      <c r="B1337" t="str">
        <f t="shared" si="40"/>
        <v>p__Eremiobacterota</v>
      </c>
      <c r="C1337" s="1">
        <v>49</v>
      </c>
      <c r="D1337" s="3">
        <v>3208663</v>
      </c>
      <c r="E1337" s="3">
        <f t="shared" si="41"/>
        <v>3.208663</v>
      </c>
      <c r="F1337" s="1">
        <v>2065</v>
      </c>
      <c r="G1337" s="2">
        <v>65482.9</v>
      </c>
      <c r="H1337" s="1">
        <v>534248</v>
      </c>
      <c r="M1337" t="s">
        <v>1034</v>
      </c>
      <c r="N1337" t="s">
        <v>1601</v>
      </c>
    </row>
    <row r="1338" spans="1:14" x14ac:dyDescent="0.25">
      <c r="A1338" t="s">
        <v>1035</v>
      </c>
      <c r="B1338" t="str">
        <f t="shared" si="40"/>
        <v>p__Eremiobacterota</v>
      </c>
      <c r="C1338" s="1">
        <v>435</v>
      </c>
      <c r="D1338" s="3">
        <v>2201491</v>
      </c>
      <c r="E1338" s="3">
        <f t="shared" si="41"/>
        <v>2.2014909999999999</v>
      </c>
      <c r="F1338" s="2">
        <v>2021</v>
      </c>
      <c r="G1338" s="1">
        <v>5060.8999999999996</v>
      </c>
      <c r="H1338" s="1">
        <v>39231</v>
      </c>
      <c r="M1338" t="s">
        <v>1035</v>
      </c>
      <c r="N1338" t="s">
        <v>1601</v>
      </c>
    </row>
    <row r="1339" spans="1:14" x14ac:dyDescent="0.25">
      <c r="A1339" t="s">
        <v>1510</v>
      </c>
      <c r="B1339" t="str">
        <f t="shared" si="40"/>
        <v>p__Eremiobacterota</v>
      </c>
      <c r="C1339" s="1">
        <v>8</v>
      </c>
      <c r="D1339" s="3">
        <v>3262402</v>
      </c>
      <c r="E1339" s="3">
        <f t="shared" si="41"/>
        <v>3.2624019999999998</v>
      </c>
      <c r="F1339" s="1">
        <v>6522</v>
      </c>
      <c r="G1339" s="2">
        <v>407800.3</v>
      </c>
      <c r="H1339" s="1">
        <v>1456109</v>
      </c>
      <c r="M1339" t="s">
        <v>1510</v>
      </c>
      <c r="N1339" t="s">
        <v>1601</v>
      </c>
    </row>
    <row r="1340" spans="1:14" x14ac:dyDescent="0.25">
      <c r="A1340" t="s">
        <v>608</v>
      </c>
      <c r="B1340" t="str">
        <f t="shared" si="40"/>
        <v>p__Fibrobacterota</v>
      </c>
      <c r="C1340" s="1">
        <v>14</v>
      </c>
      <c r="D1340" s="3">
        <v>2260222</v>
      </c>
      <c r="E1340" s="3">
        <f t="shared" si="41"/>
        <v>2.2602220000000002</v>
      </c>
      <c r="F1340" s="1">
        <v>2284</v>
      </c>
      <c r="G1340" s="2">
        <v>161444.4</v>
      </c>
      <c r="H1340" s="1">
        <v>726036</v>
      </c>
      <c r="M1340" t="s">
        <v>608</v>
      </c>
      <c r="N1340" t="s">
        <v>1602</v>
      </c>
    </row>
    <row r="1341" spans="1:14" x14ac:dyDescent="0.25">
      <c r="A1341" t="s">
        <v>609</v>
      </c>
      <c r="B1341" t="str">
        <f t="shared" si="40"/>
        <v>p__Fibrobacterota</v>
      </c>
      <c r="C1341" s="1">
        <v>13</v>
      </c>
      <c r="D1341" s="3">
        <v>2058951</v>
      </c>
      <c r="E1341" s="3">
        <f t="shared" si="41"/>
        <v>2.058951</v>
      </c>
      <c r="F1341" s="1">
        <v>33929</v>
      </c>
      <c r="G1341" s="2">
        <v>158380.79999999999</v>
      </c>
      <c r="H1341" s="1">
        <v>519992</v>
      </c>
      <c r="M1341" t="s">
        <v>609</v>
      </c>
      <c r="N1341" t="s">
        <v>1602</v>
      </c>
    </row>
    <row r="1342" spans="1:14" x14ac:dyDescent="0.25">
      <c r="A1342" t="s">
        <v>610</v>
      </c>
      <c r="B1342" t="str">
        <f t="shared" si="40"/>
        <v>p__Fibrobacterota</v>
      </c>
      <c r="C1342" s="1">
        <v>9</v>
      </c>
      <c r="D1342" s="3">
        <v>2499699</v>
      </c>
      <c r="E1342" s="3">
        <f t="shared" si="41"/>
        <v>2.4996990000000001</v>
      </c>
      <c r="F1342" s="1">
        <v>18052</v>
      </c>
      <c r="G1342" s="2">
        <v>277744.3</v>
      </c>
      <c r="H1342" s="1">
        <v>1231104</v>
      </c>
      <c r="M1342" t="s">
        <v>610</v>
      </c>
      <c r="N1342" t="s">
        <v>1602</v>
      </c>
    </row>
    <row r="1343" spans="1:14" x14ac:dyDescent="0.25">
      <c r="A1343" t="s">
        <v>611</v>
      </c>
      <c r="B1343" t="str">
        <f t="shared" si="40"/>
        <v>p__Fibrobacterota</v>
      </c>
      <c r="C1343" s="1">
        <v>3</v>
      </c>
      <c r="D1343" s="3">
        <v>2546874</v>
      </c>
      <c r="E1343" s="3">
        <f t="shared" si="41"/>
        <v>2.5468739999999999</v>
      </c>
      <c r="F1343" s="1">
        <v>100705</v>
      </c>
      <c r="G1343" s="1">
        <v>848958</v>
      </c>
      <c r="H1343" s="1">
        <v>1584452</v>
      </c>
      <c r="M1343" t="s">
        <v>611</v>
      </c>
      <c r="N1343" t="s">
        <v>1602</v>
      </c>
    </row>
    <row r="1344" spans="1:14" x14ac:dyDescent="0.25">
      <c r="A1344" t="s">
        <v>1036</v>
      </c>
      <c r="B1344" t="str">
        <f t="shared" si="40"/>
        <v>p__Fibrobacterota</v>
      </c>
      <c r="C1344" s="1">
        <v>28</v>
      </c>
      <c r="D1344" s="3">
        <v>1491540</v>
      </c>
      <c r="E1344" s="3">
        <f t="shared" si="41"/>
        <v>1.4915400000000001</v>
      </c>
      <c r="F1344" s="1">
        <v>7869</v>
      </c>
      <c r="G1344" s="2">
        <v>53269.3</v>
      </c>
      <c r="H1344" s="1">
        <v>188383</v>
      </c>
      <c r="M1344" t="s">
        <v>1036</v>
      </c>
      <c r="N1344" t="s">
        <v>1602</v>
      </c>
    </row>
    <row r="1345" spans="1:14" x14ac:dyDescent="0.25">
      <c r="A1345" t="s">
        <v>1037</v>
      </c>
      <c r="B1345" t="str">
        <f t="shared" si="40"/>
        <v>p__Fibrobacterota</v>
      </c>
      <c r="C1345" s="1">
        <v>332</v>
      </c>
      <c r="D1345" s="3">
        <v>1511538</v>
      </c>
      <c r="E1345" s="3">
        <f t="shared" si="41"/>
        <v>1.511538</v>
      </c>
      <c r="F1345" s="2">
        <v>2006</v>
      </c>
      <c r="G1345" s="1">
        <v>4552.8</v>
      </c>
      <c r="H1345" s="1">
        <v>75438</v>
      </c>
      <c r="M1345" t="s">
        <v>1037</v>
      </c>
      <c r="N1345" t="s">
        <v>1602</v>
      </c>
    </row>
    <row r="1346" spans="1:14" x14ac:dyDescent="0.25">
      <c r="A1346" t="s">
        <v>1511</v>
      </c>
      <c r="B1346" t="str">
        <f t="shared" ref="B1346:B1409" si="42">VLOOKUP(A1346,M:N,2,FALSE)</f>
        <v>p__Fibrobacterota</v>
      </c>
      <c r="C1346" s="1">
        <v>13</v>
      </c>
      <c r="D1346" s="3">
        <v>1886305</v>
      </c>
      <c r="E1346" s="3">
        <f t="shared" ref="E1346:E1409" si="43">D1346/1000000</f>
        <v>1.8863049999999999</v>
      </c>
      <c r="F1346" s="1">
        <v>2391</v>
      </c>
      <c r="G1346" s="2">
        <v>145100.4</v>
      </c>
      <c r="H1346" s="1">
        <v>664378</v>
      </c>
      <c r="M1346" t="s">
        <v>1511</v>
      </c>
      <c r="N1346" t="s">
        <v>1602</v>
      </c>
    </row>
    <row r="1347" spans="1:14" x14ac:dyDescent="0.25">
      <c r="A1347" t="s">
        <v>1512</v>
      </c>
      <c r="B1347" t="str">
        <f t="shared" si="42"/>
        <v>p__Fibrobacterota</v>
      </c>
      <c r="C1347" s="1">
        <v>2</v>
      </c>
      <c r="D1347" s="3">
        <v>2499168</v>
      </c>
      <c r="E1347" s="3">
        <f t="shared" si="43"/>
        <v>2.4991680000000001</v>
      </c>
      <c r="F1347" s="1">
        <v>59152</v>
      </c>
      <c r="G1347" s="1">
        <v>1249584</v>
      </c>
      <c r="H1347" s="1">
        <v>2440016</v>
      </c>
      <c r="M1347" t="s">
        <v>1512</v>
      </c>
      <c r="N1347" t="s">
        <v>1602</v>
      </c>
    </row>
    <row r="1348" spans="1:14" x14ac:dyDescent="0.25">
      <c r="A1348" t="s">
        <v>1513</v>
      </c>
      <c r="B1348" t="str">
        <f t="shared" si="42"/>
        <v>p__Fibrobacterota</v>
      </c>
      <c r="C1348" s="1">
        <v>289</v>
      </c>
      <c r="D1348" s="3">
        <v>3186200</v>
      </c>
      <c r="E1348" s="3">
        <f t="shared" si="43"/>
        <v>3.1861999999999999</v>
      </c>
      <c r="F1348" s="2">
        <v>2004</v>
      </c>
      <c r="G1348" s="1">
        <v>11024.9</v>
      </c>
      <c r="H1348" s="1">
        <v>67943</v>
      </c>
      <c r="M1348" t="s">
        <v>1513</v>
      </c>
      <c r="N1348" t="s">
        <v>1602</v>
      </c>
    </row>
    <row r="1349" spans="1:14" x14ac:dyDescent="0.25">
      <c r="A1349" t="s">
        <v>183</v>
      </c>
      <c r="B1349" t="str">
        <f t="shared" si="42"/>
        <v>p__Fusobacteriota</v>
      </c>
      <c r="C1349" s="1">
        <v>23</v>
      </c>
      <c r="D1349" s="3">
        <v>3575324</v>
      </c>
      <c r="E1349" s="3">
        <f t="shared" si="43"/>
        <v>3.5753240000000002</v>
      </c>
      <c r="F1349" s="1">
        <v>2750</v>
      </c>
      <c r="G1349" s="2">
        <v>155448.9</v>
      </c>
      <c r="H1349" s="1">
        <v>484546</v>
      </c>
      <c r="M1349" t="s">
        <v>183</v>
      </c>
      <c r="N1349" t="s">
        <v>1603</v>
      </c>
    </row>
    <row r="1350" spans="1:14" x14ac:dyDescent="0.25">
      <c r="A1350" t="s">
        <v>184</v>
      </c>
      <c r="B1350" t="str">
        <f t="shared" si="42"/>
        <v>p__Fusobacteriota</v>
      </c>
      <c r="C1350" s="1">
        <v>272</v>
      </c>
      <c r="D1350" s="3">
        <v>2536251</v>
      </c>
      <c r="E1350" s="3">
        <f t="shared" si="43"/>
        <v>2.536251</v>
      </c>
      <c r="F1350" s="2">
        <v>2005</v>
      </c>
      <c r="G1350" s="1">
        <v>9324.5</v>
      </c>
      <c r="H1350" s="1">
        <v>243485</v>
      </c>
      <c r="M1350" t="s">
        <v>184</v>
      </c>
      <c r="N1350" t="s">
        <v>1603</v>
      </c>
    </row>
    <row r="1351" spans="1:14" x14ac:dyDescent="0.25">
      <c r="A1351" t="s">
        <v>1038</v>
      </c>
      <c r="B1351" t="str">
        <f t="shared" si="42"/>
        <v>p__Fusobacteriota</v>
      </c>
      <c r="C1351" s="1">
        <v>29</v>
      </c>
      <c r="D1351" s="3">
        <v>1287361</v>
      </c>
      <c r="E1351" s="3">
        <f t="shared" si="43"/>
        <v>1.287361</v>
      </c>
      <c r="F1351" s="1">
        <v>4465</v>
      </c>
      <c r="G1351" s="2">
        <v>44391.8</v>
      </c>
      <c r="H1351" s="1">
        <v>150107</v>
      </c>
      <c r="M1351" t="s">
        <v>1038</v>
      </c>
      <c r="N1351" t="s">
        <v>1603</v>
      </c>
    </row>
    <row r="1352" spans="1:14" x14ac:dyDescent="0.25">
      <c r="A1352" t="s">
        <v>1039</v>
      </c>
      <c r="B1352" t="str">
        <f t="shared" si="42"/>
        <v>p__Fusobacteriota</v>
      </c>
      <c r="C1352" s="1">
        <v>13</v>
      </c>
      <c r="D1352" s="3">
        <v>3526507</v>
      </c>
      <c r="E1352" s="3">
        <f t="shared" si="43"/>
        <v>3.5265070000000001</v>
      </c>
      <c r="F1352" s="1">
        <v>2199</v>
      </c>
      <c r="G1352" s="2">
        <v>271269.8</v>
      </c>
      <c r="H1352" s="1">
        <v>693204</v>
      </c>
      <c r="M1352" t="s">
        <v>1039</v>
      </c>
      <c r="N1352" t="s">
        <v>1603</v>
      </c>
    </row>
    <row r="1353" spans="1:14" x14ac:dyDescent="0.25">
      <c r="A1353" t="s">
        <v>1514</v>
      </c>
      <c r="B1353" t="str">
        <f t="shared" si="42"/>
        <v>p__Fusobacteriota</v>
      </c>
      <c r="C1353" s="1">
        <v>10</v>
      </c>
      <c r="D1353" s="3">
        <v>4049910</v>
      </c>
      <c r="E1353" s="3">
        <f t="shared" si="43"/>
        <v>4.0499099999999997</v>
      </c>
      <c r="F1353" s="1">
        <v>2120</v>
      </c>
      <c r="G1353" s="1">
        <v>404991</v>
      </c>
      <c r="H1353" s="1">
        <v>3898148</v>
      </c>
      <c r="M1353" t="s">
        <v>1514</v>
      </c>
      <c r="N1353" t="s">
        <v>1603</v>
      </c>
    </row>
    <row r="1354" spans="1:14" x14ac:dyDescent="0.25">
      <c r="A1354" t="s">
        <v>1515</v>
      </c>
      <c r="B1354" t="str">
        <f t="shared" si="42"/>
        <v>p__Fusobacteriota</v>
      </c>
      <c r="C1354" s="1">
        <v>3</v>
      </c>
      <c r="D1354" s="3">
        <v>3021622</v>
      </c>
      <c r="E1354" s="3">
        <f t="shared" si="43"/>
        <v>3.0216219999999998</v>
      </c>
      <c r="F1354" s="1">
        <v>2335</v>
      </c>
      <c r="G1354" s="2">
        <v>1007207.3</v>
      </c>
      <c r="H1354" s="1">
        <v>3002878</v>
      </c>
      <c r="M1354" t="s">
        <v>1515</v>
      </c>
      <c r="N1354" t="s">
        <v>1603</v>
      </c>
    </row>
    <row r="1355" spans="1:14" x14ac:dyDescent="0.25">
      <c r="A1355" t="s">
        <v>1040</v>
      </c>
      <c r="B1355" t="str">
        <f t="shared" si="42"/>
        <v>p__JAAYKD01</v>
      </c>
      <c r="C1355" s="1">
        <v>350</v>
      </c>
      <c r="D1355" s="3">
        <v>2022178</v>
      </c>
      <c r="E1355" s="3">
        <f t="shared" si="43"/>
        <v>2.0221779999999998</v>
      </c>
      <c r="F1355" s="2">
        <v>2004</v>
      </c>
      <c r="G1355" s="1">
        <v>5777.7</v>
      </c>
      <c r="H1355" s="1">
        <v>106284</v>
      </c>
      <c r="M1355" t="s">
        <v>1040</v>
      </c>
      <c r="N1355" t="s">
        <v>1604</v>
      </c>
    </row>
    <row r="1356" spans="1:14" x14ac:dyDescent="0.25">
      <c r="A1356" t="s">
        <v>1041</v>
      </c>
      <c r="B1356" t="str">
        <f t="shared" si="42"/>
        <v>p__JAAYKD01</v>
      </c>
      <c r="C1356" s="1">
        <v>445</v>
      </c>
      <c r="D1356" s="3">
        <v>1686373</v>
      </c>
      <c r="E1356" s="3">
        <f t="shared" si="43"/>
        <v>1.6863729999999999</v>
      </c>
      <c r="F1356" s="2">
        <v>2004</v>
      </c>
      <c r="G1356" s="1">
        <v>3789.6</v>
      </c>
      <c r="H1356" s="1">
        <v>24011</v>
      </c>
      <c r="M1356" t="s">
        <v>1041</v>
      </c>
      <c r="N1356" t="s">
        <v>1604</v>
      </c>
    </row>
    <row r="1357" spans="1:14" x14ac:dyDescent="0.25">
      <c r="A1357" t="s">
        <v>1516</v>
      </c>
      <c r="B1357" t="str">
        <f t="shared" si="42"/>
        <v>p__JAAYKD01</v>
      </c>
      <c r="C1357" s="1">
        <v>535</v>
      </c>
      <c r="D1357" s="3">
        <v>2432053</v>
      </c>
      <c r="E1357" s="3">
        <f t="shared" si="43"/>
        <v>2.4320529999999998</v>
      </c>
      <c r="F1357" s="2">
        <v>2000</v>
      </c>
      <c r="G1357" s="1">
        <v>4545.8999999999996</v>
      </c>
      <c r="H1357" s="1">
        <v>19846</v>
      </c>
      <c r="M1357" t="s">
        <v>1516</v>
      </c>
      <c r="N1357" t="s">
        <v>1604</v>
      </c>
    </row>
    <row r="1358" spans="1:14" x14ac:dyDescent="0.25">
      <c r="A1358" t="s">
        <v>612</v>
      </c>
      <c r="B1358" t="str">
        <f t="shared" si="42"/>
        <v>p__Myxococcota</v>
      </c>
      <c r="C1358" s="1">
        <v>138</v>
      </c>
      <c r="D1358" s="3">
        <v>2782043</v>
      </c>
      <c r="E1358" s="3">
        <f t="shared" si="43"/>
        <v>2.7820429999999998</v>
      </c>
      <c r="F1358" s="2">
        <v>2001</v>
      </c>
      <c r="G1358" s="1">
        <v>20159.7</v>
      </c>
      <c r="H1358" s="1">
        <v>192201</v>
      </c>
      <c r="M1358" t="s">
        <v>612</v>
      </c>
      <c r="N1358" t="s">
        <v>1605</v>
      </c>
    </row>
    <row r="1359" spans="1:14" x14ac:dyDescent="0.25">
      <c r="A1359" t="s">
        <v>185</v>
      </c>
      <c r="B1359" t="str">
        <f t="shared" si="42"/>
        <v>p__Patescibacteria</v>
      </c>
      <c r="C1359" s="1">
        <v>85</v>
      </c>
      <c r="D1359" s="3">
        <v>915029</v>
      </c>
      <c r="E1359" s="3">
        <f t="shared" si="43"/>
        <v>0.91502899999999998</v>
      </c>
      <c r="F1359" s="1">
        <v>2009</v>
      </c>
      <c r="G1359" s="1">
        <v>10765</v>
      </c>
      <c r="H1359" s="1">
        <v>384776</v>
      </c>
      <c r="M1359" t="s">
        <v>185</v>
      </c>
      <c r="N1359" t="s">
        <v>1606</v>
      </c>
    </row>
    <row r="1360" spans="1:14" x14ac:dyDescent="0.25">
      <c r="A1360" t="s">
        <v>186</v>
      </c>
      <c r="B1360" t="str">
        <f t="shared" si="42"/>
        <v>p__Patescibacteria</v>
      </c>
      <c r="C1360" s="1">
        <v>301</v>
      </c>
      <c r="D1360" s="3">
        <v>1662040</v>
      </c>
      <c r="E1360" s="3">
        <f t="shared" si="43"/>
        <v>1.66204</v>
      </c>
      <c r="F1360" s="2">
        <v>2006</v>
      </c>
      <c r="G1360" s="1">
        <v>5521.7</v>
      </c>
      <c r="H1360" s="1">
        <v>255579</v>
      </c>
      <c r="M1360" t="s">
        <v>186</v>
      </c>
      <c r="N1360" t="s">
        <v>1606</v>
      </c>
    </row>
    <row r="1361" spans="1:14" x14ac:dyDescent="0.25">
      <c r="A1361" t="s">
        <v>187</v>
      </c>
      <c r="B1361" t="str">
        <f t="shared" si="42"/>
        <v>p__Patescibacteria</v>
      </c>
      <c r="C1361" s="1">
        <v>1</v>
      </c>
      <c r="D1361" s="3">
        <v>874687</v>
      </c>
      <c r="E1361" s="3">
        <f t="shared" si="43"/>
        <v>0.87468699999999999</v>
      </c>
      <c r="F1361" s="1">
        <v>874687</v>
      </c>
      <c r="G1361" s="1">
        <v>874687</v>
      </c>
      <c r="H1361" s="1">
        <v>874687</v>
      </c>
      <c r="M1361" t="s">
        <v>187</v>
      </c>
      <c r="N1361" t="s">
        <v>1606</v>
      </c>
    </row>
    <row r="1362" spans="1:14" x14ac:dyDescent="0.25">
      <c r="A1362" t="s">
        <v>613</v>
      </c>
      <c r="B1362" t="str">
        <f t="shared" si="42"/>
        <v>p__Patescibacteria</v>
      </c>
      <c r="C1362" s="1">
        <v>26</v>
      </c>
      <c r="D1362" s="3">
        <v>927147</v>
      </c>
      <c r="E1362" s="3">
        <f t="shared" si="43"/>
        <v>0.92714700000000005</v>
      </c>
      <c r="F1362" s="1">
        <v>2535</v>
      </c>
      <c r="G1362" s="2">
        <v>35659.5</v>
      </c>
      <c r="H1362" s="1">
        <v>85282</v>
      </c>
      <c r="M1362" t="s">
        <v>613</v>
      </c>
      <c r="N1362" t="s">
        <v>1606</v>
      </c>
    </row>
    <row r="1363" spans="1:14" x14ac:dyDescent="0.25">
      <c r="A1363" t="s">
        <v>614</v>
      </c>
      <c r="B1363" t="str">
        <f t="shared" si="42"/>
        <v>p__Patescibacteria</v>
      </c>
      <c r="C1363" s="1">
        <v>305</v>
      </c>
      <c r="D1363" s="3">
        <v>1088837</v>
      </c>
      <c r="E1363" s="3">
        <f t="shared" si="43"/>
        <v>1.0888370000000001</v>
      </c>
      <c r="F1363" s="1">
        <v>2003</v>
      </c>
      <c r="G1363" s="1">
        <v>3570</v>
      </c>
      <c r="H1363" s="1">
        <v>14026</v>
      </c>
      <c r="M1363" t="s">
        <v>614</v>
      </c>
      <c r="N1363" t="s">
        <v>1606</v>
      </c>
    </row>
    <row r="1364" spans="1:14" x14ac:dyDescent="0.25">
      <c r="A1364" t="s">
        <v>615</v>
      </c>
      <c r="B1364" t="str">
        <f t="shared" si="42"/>
        <v>p__Patescibacteria</v>
      </c>
      <c r="C1364" s="1">
        <v>35</v>
      </c>
      <c r="D1364" s="3">
        <v>820355</v>
      </c>
      <c r="E1364" s="3">
        <f t="shared" si="43"/>
        <v>0.82035499999999995</v>
      </c>
      <c r="F1364" s="1">
        <v>2095</v>
      </c>
      <c r="G1364" s="2">
        <v>23438.7</v>
      </c>
      <c r="H1364" s="1">
        <v>99675</v>
      </c>
      <c r="M1364" t="s">
        <v>615</v>
      </c>
      <c r="N1364" t="s">
        <v>1606</v>
      </c>
    </row>
    <row r="1365" spans="1:14" x14ac:dyDescent="0.25">
      <c r="A1365" t="s">
        <v>616</v>
      </c>
      <c r="B1365" t="str">
        <f t="shared" si="42"/>
        <v>p__Patescibacteria</v>
      </c>
      <c r="C1365" s="1">
        <v>43</v>
      </c>
      <c r="D1365" s="3">
        <v>456039</v>
      </c>
      <c r="E1365" s="3">
        <f t="shared" si="43"/>
        <v>0.45603900000000003</v>
      </c>
      <c r="F1365" s="1">
        <v>2044</v>
      </c>
      <c r="G1365" s="2">
        <v>10605.6</v>
      </c>
      <c r="H1365" s="1">
        <v>95817</v>
      </c>
      <c r="M1365" t="s">
        <v>616</v>
      </c>
      <c r="N1365" t="s">
        <v>1606</v>
      </c>
    </row>
    <row r="1366" spans="1:14" x14ac:dyDescent="0.25">
      <c r="A1366" t="s">
        <v>617</v>
      </c>
      <c r="B1366" t="str">
        <f t="shared" si="42"/>
        <v>p__Patescibacteria</v>
      </c>
      <c r="C1366" s="1">
        <v>3</v>
      </c>
      <c r="D1366" s="3">
        <v>680867</v>
      </c>
      <c r="E1366" s="3">
        <f t="shared" si="43"/>
        <v>0.680867</v>
      </c>
      <c r="F1366" s="1">
        <v>2398</v>
      </c>
      <c r="G1366" s="2">
        <v>226955.7</v>
      </c>
      <c r="H1366" s="1">
        <v>584307</v>
      </c>
      <c r="M1366" t="s">
        <v>617</v>
      </c>
      <c r="N1366" t="s">
        <v>1606</v>
      </c>
    </row>
    <row r="1367" spans="1:14" x14ac:dyDescent="0.25">
      <c r="A1367" t="s">
        <v>1042</v>
      </c>
      <c r="B1367" t="str">
        <f t="shared" si="42"/>
        <v>p__Patescibacteria</v>
      </c>
      <c r="C1367" s="1">
        <v>155</v>
      </c>
      <c r="D1367" s="3">
        <v>941504</v>
      </c>
      <c r="E1367" s="3">
        <f t="shared" si="43"/>
        <v>0.94150400000000001</v>
      </c>
      <c r="F1367" s="2">
        <v>2125</v>
      </c>
      <c r="G1367" s="1">
        <v>6074.2</v>
      </c>
      <c r="H1367" s="1">
        <v>21713</v>
      </c>
      <c r="M1367" t="s">
        <v>1042</v>
      </c>
      <c r="N1367" t="s">
        <v>1606</v>
      </c>
    </row>
    <row r="1368" spans="1:14" x14ac:dyDescent="0.25">
      <c r="A1368" t="s">
        <v>1043</v>
      </c>
      <c r="B1368" t="str">
        <f t="shared" si="42"/>
        <v>p__Patescibacteria</v>
      </c>
      <c r="C1368" s="1">
        <v>1</v>
      </c>
      <c r="D1368" s="3">
        <v>1017888</v>
      </c>
      <c r="E1368" s="3">
        <f t="shared" si="43"/>
        <v>1.0178879999999999</v>
      </c>
      <c r="F1368" s="1">
        <v>1017888</v>
      </c>
      <c r="G1368" s="1">
        <v>1017888</v>
      </c>
      <c r="H1368" s="1">
        <v>1017888</v>
      </c>
      <c r="M1368" t="s">
        <v>1043</v>
      </c>
      <c r="N1368" t="s">
        <v>1606</v>
      </c>
    </row>
    <row r="1369" spans="1:14" x14ac:dyDescent="0.25">
      <c r="A1369" t="s">
        <v>1044</v>
      </c>
      <c r="B1369" t="str">
        <f t="shared" si="42"/>
        <v>p__Patescibacteria</v>
      </c>
      <c r="C1369" s="1">
        <v>115</v>
      </c>
      <c r="D1369" s="3">
        <v>895522</v>
      </c>
      <c r="E1369" s="3">
        <f t="shared" si="43"/>
        <v>0.89552200000000004</v>
      </c>
      <c r="F1369" s="2">
        <v>2550</v>
      </c>
      <c r="G1369" s="1">
        <v>7787.1</v>
      </c>
      <c r="H1369" s="1">
        <v>30400</v>
      </c>
      <c r="M1369" t="s">
        <v>1044</v>
      </c>
      <c r="N1369" t="s">
        <v>1606</v>
      </c>
    </row>
    <row r="1370" spans="1:14" x14ac:dyDescent="0.25">
      <c r="A1370" t="s">
        <v>1045</v>
      </c>
      <c r="B1370" t="str">
        <f t="shared" si="42"/>
        <v>p__Patescibacteria</v>
      </c>
      <c r="C1370" s="1">
        <v>106</v>
      </c>
      <c r="D1370" s="3">
        <v>533230</v>
      </c>
      <c r="E1370" s="3">
        <f t="shared" si="43"/>
        <v>0.53322999999999998</v>
      </c>
      <c r="F1370" s="2">
        <v>2013</v>
      </c>
      <c r="G1370" s="1">
        <v>5030.5</v>
      </c>
      <c r="H1370" s="1">
        <v>24134</v>
      </c>
      <c r="M1370" t="s">
        <v>1045</v>
      </c>
      <c r="N1370" t="s">
        <v>1606</v>
      </c>
    </row>
    <row r="1371" spans="1:14" x14ac:dyDescent="0.25">
      <c r="A1371" t="s">
        <v>1046</v>
      </c>
      <c r="B1371" t="str">
        <f t="shared" si="42"/>
        <v>p__Patescibacteria</v>
      </c>
      <c r="C1371" s="1">
        <v>12</v>
      </c>
      <c r="D1371" s="3">
        <v>729479</v>
      </c>
      <c r="E1371" s="3">
        <f t="shared" si="43"/>
        <v>0.72947899999999999</v>
      </c>
      <c r="F1371" s="1">
        <v>2688</v>
      </c>
      <c r="G1371" s="2">
        <v>60789.9</v>
      </c>
      <c r="H1371" s="1">
        <v>141902</v>
      </c>
      <c r="M1371" t="s">
        <v>1046</v>
      </c>
      <c r="N1371" t="s">
        <v>1606</v>
      </c>
    </row>
    <row r="1372" spans="1:14" x14ac:dyDescent="0.25">
      <c r="A1372" t="s">
        <v>1047</v>
      </c>
      <c r="B1372" t="str">
        <f t="shared" si="42"/>
        <v>p__Patescibacteria</v>
      </c>
      <c r="C1372" s="1">
        <v>11</v>
      </c>
      <c r="D1372" s="3">
        <v>591019</v>
      </c>
      <c r="E1372" s="3">
        <f t="shared" si="43"/>
        <v>0.59101899999999996</v>
      </c>
      <c r="F1372" s="1">
        <v>5280</v>
      </c>
      <c r="G1372" s="1">
        <v>53729</v>
      </c>
      <c r="H1372" s="1">
        <v>161538</v>
      </c>
      <c r="M1372" t="s">
        <v>1047</v>
      </c>
      <c r="N1372" t="s">
        <v>1606</v>
      </c>
    </row>
    <row r="1373" spans="1:14" x14ac:dyDescent="0.25">
      <c r="A1373" t="s">
        <v>1517</v>
      </c>
      <c r="B1373" t="str">
        <f t="shared" si="42"/>
        <v>p__Patescibacteria</v>
      </c>
      <c r="C1373" s="1">
        <v>127</v>
      </c>
      <c r="D1373" s="3">
        <v>1152877</v>
      </c>
      <c r="E1373" s="3">
        <f t="shared" si="43"/>
        <v>1.1528769999999999</v>
      </c>
      <c r="F1373" s="2">
        <v>2016</v>
      </c>
      <c r="G1373" s="1">
        <v>9077.7999999999993</v>
      </c>
      <c r="H1373" s="1">
        <v>32308</v>
      </c>
      <c r="M1373" t="s">
        <v>1517</v>
      </c>
      <c r="N1373" t="s">
        <v>1606</v>
      </c>
    </row>
    <row r="1374" spans="1:14" x14ac:dyDescent="0.25">
      <c r="A1374" t="s">
        <v>1518</v>
      </c>
      <c r="B1374" t="str">
        <f t="shared" si="42"/>
        <v>p__Patescibacteria</v>
      </c>
      <c r="C1374" s="1">
        <v>110</v>
      </c>
      <c r="D1374" s="3">
        <v>1175180</v>
      </c>
      <c r="E1374" s="3">
        <f t="shared" si="43"/>
        <v>1.1751799999999999</v>
      </c>
      <c r="F1374" s="2">
        <v>2164</v>
      </c>
      <c r="G1374" s="1">
        <v>10683.5</v>
      </c>
      <c r="H1374" s="1">
        <v>45384</v>
      </c>
      <c r="M1374" t="s">
        <v>1518</v>
      </c>
      <c r="N1374" t="s">
        <v>1606</v>
      </c>
    </row>
    <row r="1375" spans="1:14" x14ac:dyDescent="0.25">
      <c r="A1375" t="s">
        <v>1519</v>
      </c>
      <c r="B1375" t="str">
        <f t="shared" si="42"/>
        <v>p__Patescibacteria</v>
      </c>
      <c r="C1375" s="1">
        <v>33</v>
      </c>
      <c r="D1375" s="3">
        <v>1323962</v>
      </c>
      <c r="E1375" s="3">
        <f t="shared" si="43"/>
        <v>1.3239620000000001</v>
      </c>
      <c r="F1375" s="1">
        <v>2035</v>
      </c>
      <c r="G1375" s="2">
        <v>40120.1</v>
      </c>
      <c r="H1375" s="1">
        <v>1151968</v>
      </c>
      <c r="M1375" t="s">
        <v>1519</v>
      </c>
      <c r="N1375" t="s">
        <v>1606</v>
      </c>
    </row>
    <row r="1376" spans="1:14" x14ac:dyDescent="0.25">
      <c r="A1376" t="s">
        <v>1520</v>
      </c>
      <c r="B1376" t="str">
        <f t="shared" si="42"/>
        <v>p__Patescibacteria</v>
      </c>
      <c r="C1376" s="1">
        <v>6</v>
      </c>
      <c r="D1376" s="3">
        <v>782266</v>
      </c>
      <c r="E1376" s="3">
        <f t="shared" si="43"/>
        <v>0.78226600000000002</v>
      </c>
      <c r="F1376" s="1">
        <v>47414</v>
      </c>
      <c r="G1376" s="2">
        <v>130377.7</v>
      </c>
      <c r="H1376" s="1">
        <v>393606</v>
      </c>
      <c r="M1376" t="s">
        <v>1520</v>
      </c>
      <c r="N1376" t="s">
        <v>1606</v>
      </c>
    </row>
    <row r="1377" spans="1:14" x14ac:dyDescent="0.25">
      <c r="A1377" t="s">
        <v>1521</v>
      </c>
      <c r="B1377" t="str">
        <f t="shared" si="42"/>
        <v>p__Patescibacteria</v>
      </c>
      <c r="C1377" s="1">
        <v>12</v>
      </c>
      <c r="D1377" s="3">
        <v>1345824</v>
      </c>
      <c r="E1377" s="3">
        <f t="shared" si="43"/>
        <v>1.3458239999999999</v>
      </c>
      <c r="F1377" s="1">
        <v>2148</v>
      </c>
      <c r="G1377" s="1">
        <v>112152</v>
      </c>
      <c r="H1377" s="1">
        <v>356911</v>
      </c>
      <c r="M1377" t="s">
        <v>1521</v>
      </c>
      <c r="N1377" t="s">
        <v>1606</v>
      </c>
    </row>
    <row r="1378" spans="1:14" x14ac:dyDescent="0.25">
      <c r="A1378" t="s">
        <v>1522</v>
      </c>
      <c r="B1378" t="str">
        <f t="shared" si="42"/>
        <v>p__Patescibacteria</v>
      </c>
      <c r="C1378" s="1">
        <v>4</v>
      </c>
      <c r="D1378" s="3">
        <v>1357177</v>
      </c>
      <c r="E1378" s="3">
        <f t="shared" si="43"/>
        <v>1.3571770000000001</v>
      </c>
      <c r="F1378" s="1">
        <v>2207</v>
      </c>
      <c r="G1378" s="2">
        <v>339294.3</v>
      </c>
      <c r="H1378" s="1">
        <v>1341195</v>
      </c>
      <c r="M1378" t="s">
        <v>1522</v>
      </c>
      <c r="N1378" t="s">
        <v>1606</v>
      </c>
    </row>
    <row r="1379" spans="1:14" x14ac:dyDescent="0.25">
      <c r="A1379" t="s">
        <v>1523</v>
      </c>
      <c r="B1379" t="str">
        <f t="shared" si="42"/>
        <v>p__Patescibacteria</v>
      </c>
      <c r="C1379" s="1">
        <v>18</v>
      </c>
      <c r="D1379" s="3">
        <v>903167</v>
      </c>
      <c r="E1379" s="3">
        <f t="shared" si="43"/>
        <v>0.90316700000000005</v>
      </c>
      <c r="F1379" s="1">
        <v>7213</v>
      </c>
      <c r="G1379" s="2">
        <v>50175.9</v>
      </c>
      <c r="H1379" s="1">
        <v>183539</v>
      </c>
      <c r="M1379" t="s">
        <v>1523</v>
      </c>
      <c r="N1379" t="s">
        <v>1606</v>
      </c>
    </row>
    <row r="1380" spans="1:14" x14ac:dyDescent="0.25">
      <c r="A1380" t="s">
        <v>1524</v>
      </c>
      <c r="B1380" t="str">
        <f t="shared" si="42"/>
        <v>p__Patescibacteria</v>
      </c>
      <c r="C1380" s="1">
        <v>10</v>
      </c>
      <c r="D1380" s="3">
        <v>1043986</v>
      </c>
      <c r="E1380" s="3">
        <f t="shared" si="43"/>
        <v>1.0439860000000001</v>
      </c>
      <c r="F1380" s="1">
        <v>2102</v>
      </c>
      <c r="G1380" s="2">
        <v>104398.6</v>
      </c>
      <c r="H1380" s="1">
        <v>312681</v>
      </c>
      <c r="M1380" t="s">
        <v>1524</v>
      </c>
      <c r="N1380" t="s">
        <v>1606</v>
      </c>
    </row>
    <row r="1381" spans="1:14" x14ac:dyDescent="0.25">
      <c r="A1381" t="s">
        <v>1525</v>
      </c>
      <c r="B1381" t="str">
        <f t="shared" si="42"/>
        <v>p__Patescibacteria</v>
      </c>
      <c r="C1381" s="1">
        <v>48</v>
      </c>
      <c r="D1381" s="3">
        <v>691423</v>
      </c>
      <c r="E1381" s="3">
        <f t="shared" si="43"/>
        <v>0.69142300000000001</v>
      </c>
      <c r="F1381" s="1">
        <v>2020</v>
      </c>
      <c r="G1381" s="2">
        <v>14404.6</v>
      </c>
      <c r="H1381" s="1">
        <v>141947</v>
      </c>
      <c r="M1381" t="s">
        <v>1525</v>
      </c>
      <c r="N1381" t="s">
        <v>1606</v>
      </c>
    </row>
    <row r="1382" spans="1:14" x14ac:dyDescent="0.25">
      <c r="A1382" t="s">
        <v>1526</v>
      </c>
      <c r="B1382" t="str">
        <f t="shared" si="42"/>
        <v>p__Patescibacteria</v>
      </c>
      <c r="C1382" s="1">
        <v>43</v>
      </c>
      <c r="D1382" s="3">
        <v>631336</v>
      </c>
      <c r="E1382" s="3">
        <f t="shared" si="43"/>
        <v>0.63133600000000001</v>
      </c>
      <c r="F1382" s="1">
        <v>2040</v>
      </c>
      <c r="G1382" s="2">
        <v>14682.2</v>
      </c>
      <c r="H1382" s="1">
        <v>133969</v>
      </c>
      <c r="M1382" t="s">
        <v>1526</v>
      </c>
      <c r="N1382" t="s">
        <v>1606</v>
      </c>
    </row>
    <row r="1383" spans="1:14" x14ac:dyDescent="0.25">
      <c r="A1383" t="s">
        <v>1527</v>
      </c>
      <c r="B1383" t="str">
        <f t="shared" si="42"/>
        <v>p__Patescibacteria</v>
      </c>
      <c r="C1383" s="1">
        <v>3</v>
      </c>
      <c r="D1383" s="3">
        <v>952818</v>
      </c>
      <c r="E1383" s="3">
        <f t="shared" si="43"/>
        <v>0.95281800000000005</v>
      </c>
      <c r="F1383" s="1">
        <v>2556</v>
      </c>
      <c r="G1383" s="1">
        <v>317606</v>
      </c>
      <c r="H1383" s="1">
        <v>946386</v>
      </c>
      <c r="M1383" t="s">
        <v>1527</v>
      </c>
      <c r="N1383" t="s">
        <v>1606</v>
      </c>
    </row>
    <row r="1384" spans="1:14" x14ac:dyDescent="0.25">
      <c r="A1384" t="s">
        <v>1528</v>
      </c>
      <c r="B1384" t="str">
        <f t="shared" si="42"/>
        <v>p__Patescibacteria</v>
      </c>
      <c r="C1384" s="1">
        <v>6</v>
      </c>
      <c r="D1384" s="3">
        <v>815812</v>
      </c>
      <c r="E1384" s="3">
        <f t="shared" si="43"/>
        <v>0.81581199999999998</v>
      </c>
      <c r="F1384" s="1">
        <v>2170</v>
      </c>
      <c r="G1384" s="2">
        <v>135968.70000000001</v>
      </c>
      <c r="H1384" s="1">
        <v>626691</v>
      </c>
      <c r="M1384" t="s">
        <v>1528</v>
      </c>
      <c r="N1384" t="s">
        <v>1606</v>
      </c>
    </row>
    <row r="1385" spans="1:14" x14ac:dyDescent="0.25">
      <c r="A1385" t="s">
        <v>1529</v>
      </c>
      <c r="B1385" t="str">
        <f t="shared" si="42"/>
        <v>p__Patescibacteria</v>
      </c>
      <c r="C1385" s="1">
        <v>30</v>
      </c>
      <c r="D1385" s="3">
        <v>740998</v>
      </c>
      <c r="E1385" s="3">
        <f t="shared" si="43"/>
        <v>0.74099800000000005</v>
      </c>
      <c r="F1385" s="1">
        <v>2017</v>
      </c>
      <c r="G1385" s="2">
        <v>24699.9</v>
      </c>
      <c r="H1385" s="1">
        <v>299139</v>
      </c>
      <c r="M1385" t="s">
        <v>1529</v>
      </c>
      <c r="N1385" t="s">
        <v>1606</v>
      </c>
    </row>
    <row r="1386" spans="1:14" x14ac:dyDescent="0.25">
      <c r="A1386" t="s">
        <v>1530</v>
      </c>
      <c r="B1386" t="str">
        <f t="shared" si="42"/>
        <v>p__Patescibacteria</v>
      </c>
      <c r="C1386" s="1">
        <v>5</v>
      </c>
      <c r="D1386" s="3">
        <v>834907</v>
      </c>
      <c r="E1386" s="3">
        <f t="shared" si="43"/>
        <v>0.83490699999999995</v>
      </c>
      <c r="F1386" s="1">
        <v>10879</v>
      </c>
      <c r="G1386" s="2">
        <v>166981.4</v>
      </c>
      <c r="H1386" s="1">
        <v>349943</v>
      </c>
      <c r="M1386" t="s">
        <v>1530</v>
      </c>
      <c r="N1386" t="s">
        <v>1606</v>
      </c>
    </row>
    <row r="1387" spans="1:14" x14ac:dyDescent="0.25">
      <c r="A1387" t="s">
        <v>1531</v>
      </c>
      <c r="B1387" t="str">
        <f t="shared" si="42"/>
        <v>p__Patescibacteria</v>
      </c>
      <c r="C1387" s="1">
        <v>2</v>
      </c>
      <c r="D1387" s="3">
        <v>867915</v>
      </c>
      <c r="E1387" s="3">
        <f t="shared" si="43"/>
        <v>0.86791499999999999</v>
      </c>
      <c r="F1387" s="1">
        <v>10317</v>
      </c>
      <c r="G1387" s="2">
        <v>433957.5</v>
      </c>
      <c r="H1387" s="1">
        <v>857598</v>
      </c>
      <c r="M1387" t="s">
        <v>1531</v>
      </c>
      <c r="N1387" t="s">
        <v>1606</v>
      </c>
    </row>
    <row r="1388" spans="1:14" x14ac:dyDescent="0.25">
      <c r="A1388" t="s">
        <v>188</v>
      </c>
      <c r="B1388" t="str">
        <f t="shared" si="42"/>
        <v>p__Planctomycetota</v>
      </c>
      <c r="C1388" s="1">
        <v>98</v>
      </c>
      <c r="D1388" s="3">
        <v>2704654</v>
      </c>
      <c r="E1388" s="3">
        <f t="shared" si="43"/>
        <v>2.7046540000000001</v>
      </c>
      <c r="F1388" s="1">
        <v>1000</v>
      </c>
      <c r="G1388" s="2">
        <v>27598.5</v>
      </c>
      <c r="H1388" s="1">
        <v>258528</v>
      </c>
      <c r="M1388" t="s">
        <v>188</v>
      </c>
      <c r="N1388" t="s">
        <v>1607</v>
      </c>
    </row>
    <row r="1389" spans="1:14" x14ac:dyDescent="0.25">
      <c r="A1389" t="s">
        <v>189</v>
      </c>
      <c r="B1389" t="str">
        <f t="shared" si="42"/>
        <v>p__Planctomycetota</v>
      </c>
      <c r="C1389" s="1">
        <v>31</v>
      </c>
      <c r="D1389" s="3">
        <v>2762937</v>
      </c>
      <c r="E1389" s="3">
        <f t="shared" si="43"/>
        <v>2.762937</v>
      </c>
      <c r="F1389" s="1">
        <v>2926</v>
      </c>
      <c r="G1389" s="1">
        <v>89127</v>
      </c>
      <c r="H1389" s="1">
        <v>354090</v>
      </c>
      <c r="M1389" t="s">
        <v>189</v>
      </c>
      <c r="N1389" t="s">
        <v>1607</v>
      </c>
    </row>
    <row r="1390" spans="1:14" x14ac:dyDescent="0.25">
      <c r="A1390" t="s">
        <v>190</v>
      </c>
      <c r="B1390" t="str">
        <f t="shared" si="42"/>
        <v>p__Planctomycetota</v>
      </c>
      <c r="C1390" s="1">
        <v>47</v>
      </c>
      <c r="D1390" s="3">
        <v>3156354</v>
      </c>
      <c r="E1390" s="3">
        <f t="shared" si="43"/>
        <v>3.1563539999999999</v>
      </c>
      <c r="F1390" s="1">
        <v>4239</v>
      </c>
      <c r="G1390" s="2">
        <v>67156.5</v>
      </c>
      <c r="H1390" s="1">
        <v>246992</v>
      </c>
      <c r="M1390" t="s">
        <v>190</v>
      </c>
      <c r="N1390" t="s">
        <v>1607</v>
      </c>
    </row>
    <row r="1391" spans="1:14" x14ac:dyDescent="0.25">
      <c r="A1391" t="s">
        <v>191</v>
      </c>
      <c r="B1391" t="str">
        <f t="shared" si="42"/>
        <v>p__Planctomycetota</v>
      </c>
      <c r="C1391" s="1">
        <v>34</v>
      </c>
      <c r="D1391" s="3">
        <v>3447955</v>
      </c>
      <c r="E1391" s="3">
        <f t="shared" si="43"/>
        <v>3.4479549999999999</v>
      </c>
      <c r="F1391" s="1">
        <v>9456</v>
      </c>
      <c r="G1391" s="2">
        <v>101410.4</v>
      </c>
      <c r="H1391" s="1">
        <v>277663</v>
      </c>
      <c r="M1391" t="s">
        <v>191</v>
      </c>
      <c r="N1391" t="s">
        <v>1607</v>
      </c>
    </row>
    <row r="1392" spans="1:14" x14ac:dyDescent="0.25">
      <c r="A1392" t="s">
        <v>192</v>
      </c>
      <c r="B1392" t="str">
        <f t="shared" si="42"/>
        <v>p__Planctomycetota</v>
      </c>
      <c r="C1392" s="1">
        <v>67</v>
      </c>
      <c r="D1392" s="3">
        <v>3279019</v>
      </c>
      <c r="E1392" s="3">
        <f t="shared" si="43"/>
        <v>3.2790189999999999</v>
      </c>
      <c r="F1392" s="1">
        <v>2009</v>
      </c>
      <c r="G1392" s="2">
        <v>48940.6</v>
      </c>
      <c r="H1392" s="1">
        <v>381367</v>
      </c>
      <c r="M1392" t="s">
        <v>192</v>
      </c>
      <c r="N1392" t="s">
        <v>1607</v>
      </c>
    </row>
    <row r="1393" spans="1:14" x14ac:dyDescent="0.25">
      <c r="A1393" t="s">
        <v>193</v>
      </c>
      <c r="B1393" t="str">
        <f t="shared" si="42"/>
        <v>p__Planctomycetota</v>
      </c>
      <c r="C1393" s="1">
        <v>85</v>
      </c>
      <c r="D1393" s="3">
        <v>3499269</v>
      </c>
      <c r="E1393" s="3">
        <f t="shared" si="43"/>
        <v>3.499269</v>
      </c>
      <c r="F1393" s="1">
        <v>2186</v>
      </c>
      <c r="G1393" s="2">
        <v>41167.9</v>
      </c>
      <c r="H1393" s="1">
        <v>264829</v>
      </c>
      <c r="M1393" t="s">
        <v>193</v>
      </c>
      <c r="N1393" t="s">
        <v>1607</v>
      </c>
    </row>
    <row r="1394" spans="1:14" x14ac:dyDescent="0.25">
      <c r="A1394" t="s">
        <v>194</v>
      </c>
      <c r="B1394" t="str">
        <f t="shared" si="42"/>
        <v>p__Planctomycetota</v>
      </c>
      <c r="C1394" s="1">
        <v>6</v>
      </c>
      <c r="D1394" s="3">
        <v>4913308</v>
      </c>
      <c r="E1394" s="3">
        <f t="shared" si="43"/>
        <v>4.9133079999999998</v>
      </c>
      <c r="F1394" s="1">
        <v>15682</v>
      </c>
      <c r="G1394" s="2">
        <v>818884.7</v>
      </c>
      <c r="H1394" s="1">
        <v>1830154</v>
      </c>
      <c r="M1394" t="s">
        <v>194</v>
      </c>
      <c r="N1394" t="s">
        <v>1607</v>
      </c>
    </row>
    <row r="1395" spans="1:14" x14ac:dyDescent="0.25">
      <c r="A1395" t="s">
        <v>195</v>
      </c>
      <c r="B1395" t="str">
        <f t="shared" si="42"/>
        <v>p__Planctomycetota</v>
      </c>
      <c r="C1395" s="1">
        <v>17</v>
      </c>
      <c r="D1395" s="3">
        <v>4595197</v>
      </c>
      <c r="E1395" s="3">
        <f t="shared" si="43"/>
        <v>4.5951969999999998</v>
      </c>
      <c r="F1395" s="1">
        <v>2277</v>
      </c>
      <c r="G1395" s="2">
        <v>270305.7</v>
      </c>
      <c r="H1395" s="1">
        <v>638727</v>
      </c>
      <c r="M1395" t="s">
        <v>195</v>
      </c>
      <c r="N1395" t="s">
        <v>1607</v>
      </c>
    </row>
    <row r="1396" spans="1:14" x14ac:dyDescent="0.25">
      <c r="A1396" t="s">
        <v>196</v>
      </c>
      <c r="B1396" t="str">
        <f t="shared" si="42"/>
        <v>p__Planctomycetota</v>
      </c>
      <c r="C1396" s="1">
        <v>25</v>
      </c>
      <c r="D1396" s="3">
        <v>4378044</v>
      </c>
      <c r="E1396" s="3">
        <f t="shared" si="43"/>
        <v>4.378044</v>
      </c>
      <c r="F1396" s="1">
        <v>5093</v>
      </c>
      <c r="G1396" s="2">
        <v>175121.8</v>
      </c>
      <c r="H1396" s="1">
        <v>611522</v>
      </c>
      <c r="M1396" t="s">
        <v>196</v>
      </c>
      <c r="N1396" t="s">
        <v>1607</v>
      </c>
    </row>
    <row r="1397" spans="1:14" x14ac:dyDescent="0.25">
      <c r="A1397" t="s">
        <v>197</v>
      </c>
      <c r="B1397" t="str">
        <f t="shared" si="42"/>
        <v>p__Planctomycetota</v>
      </c>
      <c r="C1397" s="1">
        <v>9</v>
      </c>
      <c r="D1397" s="3">
        <v>4107153</v>
      </c>
      <c r="E1397" s="3">
        <f t="shared" si="43"/>
        <v>4.1071530000000003</v>
      </c>
      <c r="F1397" s="1">
        <v>38318</v>
      </c>
      <c r="G1397" s="2">
        <v>456350.3</v>
      </c>
      <c r="H1397" s="1">
        <v>985021</v>
      </c>
      <c r="M1397" t="s">
        <v>197</v>
      </c>
      <c r="N1397" t="s">
        <v>1607</v>
      </c>
    </row>
    <row r="1398" spans="1:14" x14ac:dyDescent="0.25">
      <c r="A1398" t="s">
        <v>198</v>
      </c>
      <c r="B1398" t="str">
        <f t="shared" si="42"/>
        <v>p__Planctomycetota</v>
      </c>
      <c r="C1398" s="1">
        <v>17</v>
      </c>
      <c r="D1398" s="3">
        <v>4963600</v>
      </c>
      <c r="E1398" s="3">
        <f t="shared" si="43"/>
        <v>4.9635999999999996</v>
      </c>
      <c r="F1398" s="1">
        <v>2013</v>
      </c>
      <c r="G1398" s="2">
        <v>291976.5</v>
      </c>
      <c r="H1398" s="1">
        <v>1130779</v>
      </c>
      <c r="M1398" t="s">
        <v>198</v>
      </c>
      <c r="N1398" t="s">
        <v>1607</v>
      </c>
    </row>
    <row r="1399" spans="1:14" x14ac:dyDescent="0.25">
      <c r="A1399" t="s">
        <v>199</v>
      </c>
      <c r="B1399" t="str">
        <f t="shared" si="42"/>
        <v>p__Planctomycetota</v>
      </c>
      <c r="C1399" s="1">
        <v>4</v>
      </c>
      <c r="D1399" s="3">
        <v>4263345</v>
      </c>
      <c r="E1399" s="3">
        <f t="shared" si="43"/>
        <v>4.2633450000000002</v>
      </c>
      <c r="F1399" s="1">
        <v>508766</v>
      </c>
      <c r="G1399" s="2">
        <v>1065836.3</v>
      </c>
      <c r="H1399" s="1">
        <v>1542712</v>
      </c>
      <c r="M1399" t="s">
        <v>199</v>
      </c>
      <c r="N1399" t="s">
        <v>1607</v>
      </c>
    </row>
    <row r="1400" spans="1:14" x14ac:dyDescent="0.25">
      <c r="A1400" t="s">
        <v>200</v>
      </c>
      <c r="B1400" t="str">
        <f t="shared" si="42"/>
        <v>p__Planctomycetota</v>
      </c>
      <c r="C1400" s="1">
        <v>38</v>
      </c>
      <c r="D1400" s="3">
        <v>4514384</v>
      </c>
      <c r="E1400" s="3">
        <f t="shared" si="43"/>
        <v>4.5143839999999997</v>
      </c>
      <c r="F1400" s="1">
        <v>2103</v>
      </c>
      <c r="G1400" s="2">
        <v>118799.6</v>
      </c>
      <c r="H1400" s="1">
        <v>754129</v>
      </c>
      <c r="M1400" t="s">
        <v>200</v>
      </c>
      <c r="N1400" t="s">
        <v>1607</v>
      </c>
    </row>
    <row r="1401" spans="1:14" x14ac:dyDescent="0.25">
      <c r="A1401" t="s">
        <v>201</v>
      </c>
      <c r="B1401" t="str">
        <f t="shared" si="42"/>
        <v>p__Planctomycetota</v>
      </c>
      <c r="C1401" s="1">
        <v>7</v>
      </c>
      <c r="D1401" s="3">
        <v>4916152</v>
      </c>
      <c r="E1401" s="3">
        <f t="shared" si="43"/>
        <v>4.9161520000000003</v>
      </c>
      <c r="F1401" s="1">
        <v>11440</v>
      </c>
      <c r="G1401" s="2">
        <v>702307.4</v>
      </c>
      <c r="H1401" s="1">
        <v>2460397</v>
      </c>
      <c r="M1401" t="s">
        <v>201</v>
      </c>
      <c r="N1401" t="s">
        <v>1607</v>
      </c>
    </row>
    <row r="1402" spans="1:14" x14ac:dyDescent="0.25">
      <c r="A1402" t="s">
        <v>618</v>
      </c>
      <c r="B1402" t="str">
        <f t="shared" si="42"/>
        <v>p__Planctomycetota</v>
      </c>
      <c r="C1402" s="1">
        <v>618</v>
      </c>
      <c r="D1402" s="3">
        <v>3572126</v>
      </c>
      <c r="E1402" s="3">
        <f t="shared" si="43"/>
        <v>3.5721259999999999</v>
      </c>
      <c r="F1402" s="2">
        <v>2000</v>
      </c>
      <c r="G1402" s="1">
        <v>5780.1</v>
      </c>
      <c r="H1402" s="1">
        <v>111777</v>
      </c>
      <c r="M1402" t="s">
        <v>618</v>
      </c>
      <c r="N1402" t="s">
        <v>1607</v>
      </c>
    </row>
    <row r="1403" spans="1:14" x14ac:dyDescent="0.25">
      <c r="A1403" t="s">
        <v>619</v>
      </c>
      <c r="B1403" t="str">
        <f t="shared" si="42"/>
        <v>p__Planctomycetota</v>
      </c>
      <c r="C1403" s="1">
        <v>192</v>
      </c>
      <c r="D1403" s="3">
        <v>5577501</v>
      </c>
      <c r="E1403" s="3">
        <f t="shared" si="43"/>
        <v>5.5775009999999998</v>
      </c>
      <c r="F1403" s="2">
        <v>2505</v>
      </c>
      <c r="G1403" s="1">
        <v>29049.5</v>
      </c>
      <c r="H1403" s="1">
        <v>111624</v>
      </c>
      <c r="M1403" t="s">
        <v>619</v>
      </c>
      <c r="N1403" t="s">
        <v>1607</v>
      </c>
    </row>
    <row r="1404" spans="1:14" x14ac:dyDescent="0.25">
      <c r="A1404" t="s">
        <v>620</v>
      </c>
      <c r="B1404" t="str">
        <f t="shared" si="42"/>
        <v>p__Planctomycetota</v>
      </c>
      <c r="C1404" s="1">
        <v>92</v>
      </c>
      <c r="D1404" s="3">
        <v>2742369</v>
      </c>
      <c r="E1404" s="3">
        <f t="shared" si="43"/>
        <v>2.7423690000000001</v>
      </c>
      <c r="F1404" s="1">
        <v>2002</v>
      </c>
      <c r="G1404" s="2">
        <v>29808.400000000001</v>
      </c>
      <c r="H1404" s="1">
        <v>179533</v>
      </c>
      <c r="M1404" t="s">
        <v>620</v>
      </c>
      <c r="N1404" t="s">
        <v>1607</v>
      </c>
    </row>
    <row r="1405" spans="1:14" x14ac:dyDescent="0.25">
      <c r="A1405" t="s">
        <v>621</v>
      </c>
      <c r="B1405" t="str">
        <f t="shared" si="42"/>
        <v>p__Planctomycetota</v>
      </c>
      <c r="C1405" s="1">
        <v>50</v>
      </c>
      <c r="D1405" s="3">
        <v>3106239</v>
      </c>
      <c r="E1405" s="3">
        <f t="shared" si="43"/>
        <v>3.106239</v>
      </c>
      <c r="F1405" s="1">
        <v>2001</v>
      </c>
      <c r="G1405" s="2">
        <v>62124.800000000003</v>
      </c>
      <c r="H1405" s="1">
        <v>328562</v>
      </c>
      <c r="M1405" t="s">
        <v>621</v>
      </c>
      <c r="N1405" t="s">
        <v>1607</v>
      </c>
    </row>
    <row r="1406" spans="1:14" x14ac:dyDescent="0.25">
      <c r="A1406" t="s">
        <v>1048</v>
      </c>
      <c r="B1406" t="str">
        <f t="shared" si="42"/>
        <v>p__Planctomycetota</v>
      </c>
      <c r="C1406" s="1">
        <v>421</v>
      </c>
      <c r="D1406" s="3">
        <v>2455766</v>
      </c>
      <c r="E1406" s="3">
        <f t="shared" si="43"/>
        <v>2.4557660000000001</v>
      </c>
      <c r="F1406" s="2">
        <v>2001</v>
      </c>
      <c r="G1406" s="1">
        <v>5833.2</v>
      </c>
      <c r="H1406" s="1">
        <v>96945</v>
      </c>
      <c r="M1406" t="s">
        <v>1048</v>
      </c>
      <c r="N1406" t="s">
        <v>1607</v>
      </c>
    </row>
    <row r="1407" spans="1:14" x14ac:dyDescent="0.25">
      <c r="A1407" t="s">
        <v>1049</v>
      </c>
      <c r="B1407" t="str">
        <f t="shared" si="42"/>
        <v>p__Planctomycetota</v>
      </c>
      <c r="C1407" s="1">
        <v>569</v>
      </c>
      <c r="D1407" s="3">
        <v>3540798</v>
      </c>
      <c r="E1407" s="3">
        <f t="shared" si="43"/>
        <v>3.5407980000000001</v>
      </c>
      <c r="F1407" s="2">
        <v>2002</v>
      </c>
      <c r="G1407" s="1">
        <v>6222.8</v>
      </c>
      <c r="H1407" s="1">
        <v>107943</v>
      </c>
      <c r="M1407" t="s">
        <v>1049</v>
      </c>
      <c r="N1407" t="s">
        <v>1607</v>
      </c>
    </row>
    <row r="1408" spans="1:14" x14ac:dyDescent="0.25">
      <c r="A1408" t="s">
        <v>1050</v>
      </c>
      <c r="B1408" t="str">
        <f t="shared" si="42"/>
        <v>p__Planctomycetota</v>
      </c>
      <c r="C1408" s="1">
        <v>244</v>
      </c>
      <c r="D1408" s="3">
        <v>2931656</v>
      </c>
      <c r="E1408" s="3">
        <f t="shared" si="43"/>
        <v>2.9316559999999998</v>
      </c>
      <c r="F1408" s="1">
        <v>2001</v>
      </c>
      <c r="G1408" s="1">
        <v>12015</v>
      </c>
      <c r="H1408" s="1">
        <v>261290</v>
      </c>
      <c r="M1408" t="s">
        <v>1050</v>
      </c>
      <c r="N1408" t="s">
        <v>1607</v>
      </c>
    </row>
    <row r="1409" spans="1:14" x14ac:dyDescent="0.25">
      <c r="A1409" t="s">
        <v>1051</v>
      </c>
      <c r="B1409" t="str">
        <f t="shared" si="42"/>
        <v>p__Planctomycetota</v>
      </c>
      <c r="C1409" s="1">
        <v>8</v>
      </c>
      <c r="D1409" s="3">
        <v>4199507</v>
      </c>
      <c r="E1409" s="3">
        <f t="shared" si="43"/>
        <v>4.1995069999999997</v>
      </c>
      <c r="F1409" s="1">
        <v>24776</v>
      </c>
      <c r="G1409" s="2">
        <v>524938.4</v>
      </c>
      <c r="H1409" s="1">
        <v>1218596</v>
      </c>
      <c r="M1409" t="s">
        <v>1051</v>
      </c>
      <c r="N1409" t="s">
        <v>1607</v>
      </c>
    </row>
    <row r="1410" spans="1:14" x14ac:dyDescent="0.25">
      <c r="A1410" t="s">
        <v>1052</v>
      </c>
      <c r="B1410" t="str">
        <f t="shared" ref="B1410:B1473" si="44">VLOOKUP(A1410,M:N,2,FALSE)</f>
        <v>p__Planctomycetota</v>
      </c>
      <c r="C1410" s="1">
        <v>17</v>
      </c>
      <c r="D1410" s="3">
        <v>4448963</v>
      </c>
      <c r="E1410" s="3">
        <f t="shared" ref="E1410:E1473" si="45">D1410/1000000</f>
        <v>4.448963</v>
      </c>
      <c r="F1410" s="1">
        <v>11703</v>
      </c>
      <c r="G1410" s="2">
        <v>261703.7</v>
      </c>
      <c r="H1410" s="1">
        <v>1527627</v>
      </c>
      <c r="M1410" t="s">
        <v>1052</v>
      </c>
      <c r="N1410" t="s">
        <v>1607</v>
      </c>
    </row>
    <row r="1411" spans="1:14" x14ac:dyDescent="0.25">
      <c r="A1411" t="s">
        <v>1053</v>
      </c>
      <c r="B1411" t="str">
        <f t="shared" si="44"/>
        <v>p__Planctomycetota</v>
      </c>
      <c r="C1411" s="1">
        <v>144</v>
      </c>
      <c r="D1411" s="3">
        <v>4832753</v>
      </c>
      <c r="E1411" s="3">
        <f t="shared" si="45"/>
        <v>4.8327530000000003</v>
      </c>
      <c r="F1411" s="2">
        <v>2678</v>
      </c>
      <c r="G1411" s="1">
        <v>33560.800000000003</v>
      </c>
      <c r="H1411" s="1">
        <v>208360</v>
      </c>
      <c r="M1411" t="s">
        <v>1053</v>
      </c>
      <c r="N1411" t="s">
        <v>1607</v>
      </c>
    </row>
    <row r="1412" spans="1:14" x14ac:dyDescent="0.25">
      <c r="A1412" t="s">
        <v>1054</v>
      </c>
      <c r="B1412" t="str">
        <f t="shared" si="44"/>
        <v>p__Planctomycetota</v>
      </c>
      <c r="C1412" s="1">
        <v>117</v>
      </c>
      <c r="D1412" s="3">
        <v>3383348</v>
      </c>
      <c r="E1412" s="3">
        <f t="shared" si="45"/>
        <v>3.3833479999999998</v>
      </c>
      <c r="F1412" s="2">
        <v>2002</v>
      </c>
      <c r="G1412" s="1">
        <v>28917.5</v>
      </c>
      <c r="H1412" s="1">
        <v>154581</v>
      </c>
      <c r="M1412" t="s">
        <v>1054</v>
      </c>
      <c r="N1412" t="s">
        <v>1607</v>
      </c>
    </row>
    <row r="1413" spans="1:14" x14ac:dyDescent="0.25">
      <c r="A1413" t="s">
        <v>1055</v>
      </c>
      <c r="B1413" t="str">
        <f t="shared" si="44"/>
        <v>p__Planctomycetota</v>
      </c>
      <c r="C1413" s="1">
        <v>80</v>
      </c>
      <c r="D1413" s="3">
        <v>4511784</v>
      </c>
      <c r="E1413" s="3">
        <f t="shared" si="45"/>
        <v>4.5117839999999996</v>
      </c>
      <c r="F1413" s="1">
        <v>13345</v>
      </c>
      <c r="G1413" s="2">
        <v>56397.3</v>
      </c>
      <c r="H1413" s="1">
        <v>280577</v>
      </c>
      <c r="M1413" t="s">
        <v>1055</v>
      </c>
      <c r="N1413" t="s">
        <v>1607</v>
      </c>
    </row>
    <row r="1414" spans="1:14" x14ac:dyDescent="0.25">
      <c r="A1414" t="s">
        <v>1056</v>
      </c>
      <c r="B1414" t="str">
        <f t="shared" si="44"/>
        <v>p__Planctomycetota</v>
      </c>
      <c r="C1414" s="1">
        <v>134</v>
      </c>
      <c r="D1414" s="3">
        <v>3754141</v>
      </c>
      <c r="E1414" s="3">
        <f t="shared" si="45"/>
        <v>3.7541410000000002</v>
      </c>
      <c r="F1414" s="1">
        <v>3046</v>
      </c>
      <c r="G1414" s="1">
        <v>28016</v>
      </c>
      <c r="H1414" s="1">
        <v>108548</v>
      </c>
      <c r="M1414" t="s">
        <v>1056</v>
      </c>
      <c r="N1414" t="s">
        <v>1607</v>
      </c>
    </row>
    <row r="1415" spans="1:14" x14ac:dyDescent="0.25">
      <c r="A1415" t="s">
        <v>1532</v>
      </c>
      <c r="B1415" t="str">
        <f t="shared" si="44"/>
        <v>p__Planctomycetota</v>
      </c>
      <c r="C1415" s="1">
        <v>443</v>
      </c>
      <c r="D1415" s="3">
        <v>2727163</v>
      </c>
      <c r="E1415" s="3">
        <f t="shared" si="45"/>
        <v>2.727163</v>
      </c>
      <c r="F1415" s="2">
        <v>2005</v>
      </c>
      <c r="G1415" s="1">
        <v>6156.1</v>
      </c>
      <c r="H1415" s="1">
        <v>190480</v>
      </c>
      <c r="M1415" t="s">
        <v>1532</v>
      </c>
      <c r="N1415" t="s">
        <v>1607</v>
      </c>
    </row>
    <row r="1416" spans="1:14" x14ac:dyDescent="0.25">
      <c r="A1416" t="s">
        <v>1533</v>
      </c>
      <c r="B1416" t="str">
        <f t="shared" si="44"/>
        <v>p__Planctomycetota</v>
      </c>
      <c r="C1416" s="1">
        <v>65</v>
      </c>
      <c r="D1416" s="3">
        <v>2946032</v>
      </c>
      <c r="E1416" s="3">
        <f t="shared" si="45"/>
        <v>2.9460320000000002</v>
      </c>
      <c r="F1416" s="1">
        <v>2558</v>
      </c>
      <c r="G1416" s="2">
        <v>45323.6</v>
      </c>
      <c r="H1416" s="1">
        <v>171946</v>
      </c>
      <c r="M1416" t="s">
        <v>1533</v>
      </c>
      <c r="N1416" t="s">
        <v>1607</v>
      </c>
    </row>
    <row r="1417" spans="1:14" x14ac:dyDescent="0.25">
      <c r="A1417" t="s">
        <v>1534</v>
      </c>
      <c r="B1417" t="str">
        <f t="shared" si="44"/>
        <v>p__Planctomycetota</v>
      </c>
      <c r="C1417" s="1">
        <v>38</v>
      </c>
      <c r="D1417" s="3">
        <v>4750091</v>
      </c>
      <c r="E1417" s="3">
        <f t="shared" si="45"/>
        <v>4.7500910000000003</v>
      </c>
      <c r="F1417" s="1">
        <v>2141</v>
      </c>
      <c r="G1417" s="2">
        <v>125002.4</v>
      </c>
      <c r="H1417" s="1">
        <v>898333</v>
      </c>
      <c r="M1417" t="s">
        <v>1534</v>
      </c>
      <c r="N1417" t="s">
        <v>1607</v>
      </c>
    </row>
    <row r="1418" spans="1:14" x14ac:dyDescent="0.25">
      <c r="A1418" t="s">
        <v>1535</v>
      </c>
      <c r="B1418" t="str">
        <f t="shared" si="44"/>
        <v>p__Planctomycetota</v>
      </c>
      <c r="C1418" s="1">
        <v>38</v>
      </c>
      <c r="D1418" s="3">
        <v>4839228</v>
      </c>
      <c r="E1418" s="3">
        <f t="shared" si="45"/>
        <v>4.8392280000000003</v>
      </c>
      <c r="F1418" s="1">
        <v>4428</v>
      </c>
      <c r="G1418" s="2">
        <v>127348.1</v>
      </c>
      <c r="H1418" s="1">
        <v>916053</v>
      </c>
      <c r="M1418" t="s">
        <v>1535</v>
      </c>
      <c r="N1418" t="s">
        <v>1607</v>
      </c>
    </row>
    <row r="1419" spans="1:14" x14ac:dyDescent="0.25">
      <c r="A1419" t="s">
        <v>1536</v>
      </c>
      <c r="B1419" t="str">
        <f t="shared" si="44"/>
        <v>p__Planctomycetota</v>
      </c>
      <c r="C1419" s="1">
        <v>77</v>
      </c>
      <c r="D1419" s="3">
        <v>2756473</v>
      </c>
      <c r="E1419" s="3">
        <f t="shared" si="45"/>
        <v>2.7564730000000002</v>
      </c>
      <c r="F1419" s="1">
        <v>2566</v>
      </c>
      <c r="G1419" s="2">
        <v>35798.400000000001</v>
      </c>
      <c r="H1419" s="1">
        <v>128364</v>
      </c>
      <c r="M1419" t="s">
        <v>1536</v>
      </c>
      <c r="N1419" t="s">
        <v>1607</v>
      </c>
    </row>
    <row r="1420" spans="1:14" x14ac:dyDescent="0.25">
      <c r="A1420" t="s">
        <v>1537</v>
      </c>
      <c r="B1420" t="str">
        <f t="shared" si="44"/>
        <v>p__Planctomycetota</v>
      </c>
      <c r="C1420" s="1">
        <v>25</v>
      </c>
      <c r="D1420" s="3">
        <v>2658400</v>
      </c>
      <c r="E1420" s="3">
        <f t="shared" si="45"/>
        <v>2.6583999999999999</v>
      </c>
      <c r="F1420" s="1">
        <v>4036</v>
      </c>
      <c r="G1420" s="1">
        <v>106336</v>
      </c>
      <c r="H1420" s="1">
        <v>349422</v>
      </c>
      <c r="M1420" t="s">
        <v>1537</v>
      </c>
      <c r="N1420" t="s">
        <v>1607</v>
      </c>
    </row>
    <row r="1421" spans="1:14" x14ac:dyDescent="0.25">
      <c r="A1421" t="s">
        <v>1538</v>
      </c>
      <c r="B1421" t="str">
        <f t="shared" si="44"/>
        <v>p__Planctomycetota</v>
      </c>
      <c r="C1421" s="1">
        <v>55</v>
      </c>
      <c r="D1421" s="3">
        <v>4505964</v>
      </c>
      <c r="E1421" s="3">
        <f t="shared" si="45"/>
        <v>4.5059639999999996</v>
      </c>
      <c r="F1421" s="1">
        <v>2434</v>
      </c>
      <c r="G1421" s="2">
        <v>81926.600000000006</v>
      </c>
      <c r="H1421" s="1">
        <v>695386</v>
      </c>
      <c r="M1421" t="s">
        <v>1538</v>
      </c>
      <c r="N1421" t="s">
        <v>1607</v>
      </c>
    </row>
    <row r="1422" spans="1:14" x14ac:dyDescent="0.25">
      <c r="A1422" t="s">
        <v>1539</v>
      </c>
      <c r="B1422" t="str">
        <f t="shared" si="44"/>
        <v>p__Planctomycetota</v>
      </c>
      <c r="C1422" s="1">
        <v>31</v>
      </c>
      <c r="D1422" s="3">
        <v>3934297</v>
      </c>
      <c r="E1422" s="3">
        <f t="shared" si="45"/>
        <v>3.9342969999999999</v>
      </c>
      <c r="F1422" s="1">
        <v>7448</v>
      </c>
      <c r="G1422" s="2">
        <v>126912.8</v>
      </c>
      <c r="H1422" s="1">
        <v>393552</v>
      </c>
      <c r="M1422" t="s">
        <v>1539</v>
      </c>
      <c r="N1422" t="s">
        <v>1607</v>
      </c>
    </row>
    <row r="1423" spans="1:14" x14ac:dyDescent="0.25">
      <c r="A1423" t="s">
        <v>1540</v>
      </c>
      <c r="B1423" t="str">
        <f t="shared" si="44"/>
        <v>p__Planctomycetota</v>
      </c>
      <c r="C1423" s="1">
        <v>36</v>
      </c>
      <c r="D1423" s="3">
        <v>3058833</v>
      </c>
      <c r="E1423" s="3">
        <f t="shared" si="45"/>
        <v>3.0588329999999999</v>
      </c>
      <c r="F1423" s="1">
        <v>8826</v>
      </c>
      <c r="G1423" s="2">
        <v>84967.6</v>
      </c>
      <c r="H1423" s="1">
        <v>186141</v>
      </c>
      <c r="M1423" t="s">
        <v>1540</v>
      </c>
      <c r="N1423" t="s">
        <v>1607</v>
      </c>
    </row>
    <row r="1424" spans="1:14" x14ac:dyDescent="0.25">
      <c r="A1424" t="s">
        <v>202</v>
      </c>
      <c r="B1424" t="str">
        <f t="shared" si="44"/>
        <v>p__Pseudomonadota</v>
      </c>
      <c r="C1424" s="1">
        <v>6</v>
      </c>
      <c r="D1424" s="3">
        <v>2414965</v>
      </c>
      <c r="E1424" s="3">
        <f t="shared" si="45"/>
        <v>2.414965</v>
      </c>
      <c r="F1424" s="1">
        <v>3643</v>
      </c>
      <c r="G1424" s="2">
        <v>402494.2</v>
      </c>
      <c r="H1424" s="1">
        <v>1393521</v>
      </c>
      <c r="M1424" t="s">
        <v>202</v>
      </c>
      <c r="N1424" t="s">
        <v>1608</v>
      </c>
    </row>
    <row r="1425" spans="1:14" x14ac:dyDescent="0.25">
      <c r="A1425" t="s">
        <v>203</v>
      </c>
      <c r="B1425" t="str">
        <f t="shared" si="44"/>
        <v>p__Pseudomonadota</v>
      </c>
      <c r="C1425" s="1">
        <v>3</v>
      </c>
      <c r="D1425" s="3">
        <v>1987942</v>
      </c>
      <c r="E1425" s="3">
        <f t="shared" si="45"/>
        <v>1.9879420000000001</v>
      </c>
      <c r="F1425" s="1">
        <v>527259</v>
      </c>
      <c r="G1425" s="2">
        <v>662647.30000000005</v>
      </c>
      <c r="H1425" s="1">
        <v>748000</v>
      </c>
      <c r="M1425" t="s">
        <v>203</v>
      </c>
      <c r="N1425" t="s">
        <v>1608</v>
      </c>
    </row>
    <row r="1426" spans="1:14" x14ac:dyDescent="0.25">
      <c r="A1426" t="s">
        <v>204</v>
      </c>
      <c r="B1426" t="str">
        <f t="shared" si="44"/>
        <v>p__Pseudomonadota</v>
      </c>
      <c r="C1426" s="1">
        <v>19</v>
      </c>
      <c r="D1426" s="3">
        <v>1648674</v>
      </c>
      <c r="E1426" s="3">
        <f t="shared" si="45"/>
        <v>1.648674</v>
      </c>
      <c r="F1426" s="1">
        <v>9483</v>
      </c>
      <c r="G1426" s="2">
        <v>86772.3</v>
      </c>
      <c r="H1426" s="1">
        <v>343908</v>
      </c>
      <c r="M1426" t="s">
        <v>204</v>
      </c>
      <c r="N1426" t="s">
        <v>1608</v>
      </c>
    </row>
    <row r="1427" spans="1:14" x14ac:dyDescent="0.25">
      <c r="A1427" t="s">
        <v>205</v>
      </c>
      <c r="B1427" t="str">
        <f t="shared" si="44"/>
        <v>p__Pseudomonadota</v>
      </c>
      <c r="C1427" s="1">
        <v>2</v>
      </c>
      <c r="D1427" s="3">
        <v>1963126</v>
      </c>
      <c r="E1427" s="3">
        <f t="shared" si="45"/>
        <v>1.9631259999999999</v>
      </c>
      <c r="F1427" s="1">
        <v>254677</v>
      </c>
      <c r="G1427" s="1">
        <v>981563</v>
      </c>
      <c r="H1427" s="1">
        <v>1708449</v>
      </c>
      <c r="M1427" t="s">
        <v>205</v>
      </c>
      <c r="N1427" t="s">
        <v>1608</v>
      </c>
    </row>
    <row r="1428" spans="1:14" x14ac:dyDescent="0.25">
      <c r="A1428" t="s">
        <v>206</v>
      </c>
      <c r="B1428" t="str">
        <f t="shared" si="44"/>
        <v>p__Pseudomonadota</v>
      </c>
      <c r="C1428" s="1">
        <v>45</v>
      </c>
      <c r="D1428" s="3">
        <v>1262687</v>
      </c>
      <c r="E1428" s="3">
        <f t="shared" si="45"/>
        <v>1.2626869999999999</v>
      </c>
      <c r="F1428" s="1">
        <v>2076</v>
      </c>
      <c r="G1428" s="2">
        <v>28059.7</v>
      </c>
      <c r="H1428" s="1">
        <v>170250</v>
      </c>
      <c r="M1428" t="s">
        <v>206</v>
      </c>
      <c r="N1428" t="s">
        <v>1608</v>
      </c>
    </row>
    <row r="1429" spans="1:14" x14ac:dyDescent="0.25">
      <c r="A1429" t="s">
        <v>207</v>
      </c>
      <c r="B1429" t="str">
        <f t="shared" si="44"/>
        <v>p__Pseudomonadota</v>
      </c>
      <c r="C1429" s="1">
        <v>3</v>
      </c>
      <c r="D1429" s="3">
        <v>1847038</v>
      </c>
      <c r="E1429" s="3">
        <f t="shared" si="45"/>
        <v>1.847038</v>
      </c>
      <c r="F1429" s="1">
        <v>187555</v>
      </c>
      <c r="G1429" s="2">
        <v>615679.30000000005</v>
      </c>
      <c r="H1429" s="1">
        <v>1207292</v>
      </c>
      <c r="M1429" t="s">
        <v>207</v>
      </c>
      <c r="N1429" t="s">
        <v>1608</v>
      </c>
    </row>
    <row r="1430" spans="1:14" x14ac:dyDescent="0.25">
      <c r="A1430" t="s">
        <v>208</v>
      </c>
      <c r="B1430" t="str">
        <f t="shared" si="44"/>
        <v>p__Pseudomonadota</v>
      </c>
      <c r="C1430" s="1">
        <v>6</v>
      </c>
      <c r="D1430" s="3">
        <v>1898989</v>
      </c>
      <c r="E1430" s="3">
        <f t="shared" si="45"/>
        <v>1.898989</v>
      </c>
      <c r="F1430" s="1">
        <v>2400</v>
      </c>
      <c r="G1430" s="2">
        <v>316498.2</v>
      </c>
      <c r="H1430" s="1">
        <v>1034275</v>
      </c>
      <c r="M1430" t="s">
        <v>208</v>
      </c>
      <c r="N1430" t="s">
        <v>1608</v>
      </c>
    </row>
    <row r="1431" spans="1:14" x14ac:dyDescent="0.25">
      <c r="A1431" t="s">
        <v>209</v>
      </c>
      <c r="B1431" t="str">
        <f t="shared" si="44"/>
        <v>p__Pseudomonadota</v>
      </c>
      <c r="C1431" s="1">
        <v>10</v>
      </c>
      <c r="D1431" s="3">
        <v>1766533</v>
      </c>
      <c r="E1431" s="3">
        <f t="shared" si="45"/>
        <v>1.7665329999999999</v>
      </c>
      <c r="F1431" s="1">
        <v>2546</v>
      </c>
      <c r="G1431" s="2">
        <v>176653.3</v>
      </c>
      <c r="H1431" s="1">
        <v>1375054</v>
      </c>
      <c r="M1431" t="s">
        <v>209</v>
      </c>
      <c r="N1431" t="s">
        <v>1608</v>
      </c>
    </row>
    <row r="1432" spans="1:14" x14ac:dyDescent="0.25">
      <c r="A1432" t="s">
        <v>210</v>
      </c>
      <c r="B1432" t="str">
        <f t="shared" si="44"/>
        <v>p__Pseudomonadota</v>
      </c>
      <c r="C1432" s="1">
        <v>28</v>
      </c>
      <c r="D1432" s="3">
        <v>1041966</v>
      </c>
      <c r="E1432" s="3">
        <f t="shared" si="45"/>
        <v>1.0419659999999999</v>
      </c>
      <c r="F1432" s="1">
        <v>2158</v>
      </c>
      <c r="G1432" s="2">
        <v>37213.1</v>
      </c>
      <c r="H1432" s="1">
        <v>298886</v>
      </c>
      <c r="M1432" t="s">
        <v>210</v>
      </c>
      <c r="N1432" t="s">
        <v>1608</v>
      </c>
    </row>
    <row r="1433" spans="1:14" x14ac:dyDescent="0.25">
      <c r="A1433" t="s">
        <v>211</v>
      </c>
      <c r="B1433" t="str">
        <f t="shared" si="44"/>
        <v>p__Pseudomonadota</v>
      </c>
      <c r="C1433" s="1">
        <v>8</v>
      </c>
      <c r="D1433" s="3">
        <v>1126987</v>
      </c>
      <c r="E1433" s="3">
        <f t="shared" si="45"/>
        <v>1.126987</v>
      </c>
      <c r="F1433" s="1">
        <v>5611</v>
      </c>
      <c r="G1433" s="2">
        <v>140873.4</v>
      </c>
      <c r="H1433" s="1">
        <v>428333</v>
      </c>
      <c r="M1433" t="s">
        <v>211</v>
      </c>
      <c r="N1433" t="s">
        <v>1608</v>
      </c>
    </row>
    <row r="1434" spans="1:14" x14ac:dyDescent="0.25">
      <c r="A1434" t="s">
        <v>212</v>
      </c>
      <c r="B1434" t="str">
        <f t="shared" si="44"/>
        <v>p__Pseudomonadota</v>
      </c>
      <c r="C1434" s="1">
        <v>1</v>
      </c>
      <c r="D1434" s="3">
        <v>1140404</v>
      </c>
      <c r="E1434" s="3">
        <f t="shared" si="45"/>
        <v>1.140404</v>
      </c>
      <c r="F1434" s="1">
        <v>1140404</v>
      </c>
      <c r="G1434" s="1">
        <v>1140404</v>
      </c>
      <c r="H1434" s="1">
        <v>1140404</v>
      </c>
      <c r="M1434" t="s">
        <v>212</v>
      </c>
      <c r="N1434" t="s">
        <v>1608</v>
      </c>
    </row>
    <row r="1435" spans="1:14" x14ac:dyDescent="0.25">
      <c r="A1435" t="s">
        <v>213</v>
      </c>
      <c r="B1435" t="str">
        <f t="shared" si="44"/>
        <v>p__Pseudomonadota</v>
      </c>
      <c r="C1435" s="1">
        <v>179</v>
      </c>
      <c r="D1435" s="3">
        <v>1614132</v>
      </c>
      <c r="E1435" s="3">
        <f t="shared" si="45"/>
        <v>1.6141319999999999</v>
      </c>
      <c r="F1435" s="2">
        <v>2002</v>
      </c>
      <c r="G1435" s="1">
        <v>9017.5</v>
      </c>
      <c r="H1435" s="1">
        <v>154720</v>
      </c>
      <c r="M1435" t="s">
        <v>213</v>
      </c>
      <c r="N1435" t="s">
        <v>1608</v>
      </c>
    </row>
    <row r="1436" spans="1:14" x14ac:dyDescent="0.25">
      <c r="A1436" t="s">
        <v>214</v>
      </c>
      <c r="B1436" t="str">
        <f t="shared" si="44"/>
        <v>p__Pseudomonadota</v>
      </c>
      <c r="C1436" s="1">
        <v>149</v>
      </c>
      <c r="D1436" s="3">
        <v>2077588</v>
      </c>
      <c r="E1436" s="3">
        <f t="shared" si="45"/>
        <v>2.077588</v>
      </c>
      <c r="F1436" s="2">
        <v>2004</v>
      </c>
      <c r="G1436" s="1">
        <v>13943.5</v>
      </c>
      <c r="H1436" s="1">
        <v>145031</v>
      </c>
      <c r="M1436" t="s">
        <v>214</v>
      </c>
      <c r="N1436" t="s">
        <v>1608</v>
      </c>
    </row>
    <row r="1437" spans="1:14" x14ac:dyDescent="0.25">
      <c r="A1437" t="s">
        <v>215</v>
      </c>
      <c r="B1437" t="str">
        <f t="shared" si="44"/>
        <v>p__Pseudomonadota</v>
      </c>
      <c r="C1437" s="1">
        <v>13</v>
      </c>
      <c r="D1437" s="3">
        <v>1982316</v>
      </c>
      <c r="E1437" s="3">
        <f t="shared" si="45"/>
        <v>1.982316</v>
      </c>
      <c r="F1437" s="1">
        <v>2070</v>
      </c>
      <c r="G1437" s="2">
        <v>152485.79999999999</v>
      </c>
      <c r="H1437" s="1">
        <v>700276</v>
      </c>
      <c r="M1437" t="s">
        <v>215</v>
      </c>
      <c r="N1437" t="s">
        <v>1608</v>
      </c>
    </row>
    <row r="1438" spans="1:14" x14ac:dyDescent="0.25">
      <c r="A1438" t="s">
        <v>216</v>
      </c>
      <c r="B1438" t="str">
        <f t="shared" si="44"/>
        <v>p__Pseudomonadota</v>
      </c>
      <c r="C1438" s="1">
        <v>327</v>
      </c>
      <c r="D1438" s="3">
        <v>2718135</v>
      </c>
      <c r="E1438" s="3">
        <f t="shared" si="45"/>
        <v>2.7181350000000002</v>
      </c>
      <c r="F1438" s="2">
        <v>2011</v>
      </c>
      <c r="G1438" s="1">
        <v>8312.2999999999993</v>
      </c>
      <c r="H1438" s="1">
        <v>38685</v>
      </c>
      <c r="M1438" t="s">
        <v>216</v>
      </c>
      <c r="N1438" t="s">
        <v>1608</v>
      </c>
    </row>
    <row r="1439" spans="1:14" x14ac:dyDescent="0.25">
      <c r="A1439" t="s">
        <v>217</v>
      </c>
      <c r="B1439" t="str">
        <f t="shared" si="44"/>
        <v>p__Pseudomonadota</v>
      </c>
      <c r="C1439" s="1">
        <v>19</v>
      </c>
      <c r="D1439" s="3">
        <v>4649397</v>
      </c>
      <c r="E1439" s="3">
        <f t="shared" si="45"/>
        <v>4.6493969999999996</v>
      </c>
      <c r="F1439" s="1">
        <v>4944</v>
      </c>
      <c r="G1439" s="2">
        <v>244705.1</v>
      </c>
      <c r="H1439" s="1">
        <v>1803156</v>
      </c>
      <c r="M1439" t="s">
        <v>217</v>
      </c>
      <c r="N1439" t="s">
        <v>1608</v>
      </c>
    </row>
    <row r="1440" spans="1:14" x14ac:dyDescent="0.25">
      <c r="A1440" t="s">
        <v>218</v>
      </c>
      <c r="B1440" t="str">
        <f t="shared" si="44"/>
        <v>p__Pseudomonadota</v>
      </c>
      <c r="C1440" s="1">
        <v>7</v>
      </c>
      <c r="D1440" s="3">
        <v>3575899</v>
      </c>
      <c r="E1440" s="3">
        <f t="shared" si="45"/>
        <v>3.5758990000000002</v>
      </c>
      <c r="F1440" s="1">
        <v>4217</v>
      </c>
      <c r="G1440" s="2">
        <v>510842.7</v>
      </c>
      <c r="H1440" s="1">
        <v>1815985</v>
      </c>
      <c r="M1440" t="s">
        <v>218</v>
      </c>
      <c r="N1440" t="s">
        <v>1608</v>
      </c>
    </row>
    <row r="1441" spans="1:14" x14ac:dyDescent="0.25">
      <c r="A1441" t="s">
        <v>219</v>
      </c>
      <c r="B1441" t="str">
        <f t="shared" si="44"/>
        <v>p__Pseudomonadota</v>
      </c>
      <c r="C1441" s="1">
        <v>36</v>
      </c>
      <c r="D1441" s="3">
        <v>3604624</v>
      </c>
      <c r="E1441" s="3">
        <f t="shared" si="45"/>
        <v>3.6046239999999998</v>
      </c>
      <c r="F1441" s="1">
        <v>2008</v>
      </c>
      <c r="G1441" s="2">
        <v>100128.4</v>
      </c>
      <c r="H1441" s="1">
        <v>3046229</v>
      </c>
      <c r="M1441" t="s">
        <v>219</v>
      </c>
      <c r="N1441" t="s">
        <v>1608</v>
      </c>
    </row>
    <row r="1442" spans="1:14" x14ac:dyDescent="0.25">
      <c r="A1442" t="s">
        <v>622</v>
      </c>
      <c r="B1442" t="str">
        <f t="shared" si="44"/>
        <v>p__Pseudomonadota</v>
      </c>
      <c r="C1442" s="1">
        <v>25</v>
      </c>
      <c r="D1442" s="3">
        <v>1510722</v>
      </c>
      <c r="E1442" s="3">
        <f t="shared" si="45"/>
        <v>1.5107219999999999</v>
      </c>
      <c r="F1442" s="1">
        <v>2265</v>
      </c>
      <c r="G1442" s="2">
        <v>60428.9</v>
      </c>
      <c r="H1442" s="1">
        <v>370543</v>
      </c>
      <c r="M1442" t="s">
        <v>622</v>
      </c>
      <c r="N1442" t="s">
        <v>1608</v>
      </c>
    </row>
    <row r="1443" spans="1:14" x14ac:dyDescent="0.25">
      <c r="A1443" t="s">
        <v>623</v>
      </c>
      <c r="B1443" t="str">
        <f t="shared" si="44"/>
        <v>p__Pseudomonadota</v>
      </c>
      <c r="C1443" s="1">
        <v>38</v>
      </c>
      <c r="D1443" s="3">
        <v>1239127</v>
      </c>
      <c r="E1443" s="3">
        <f t="shared" si="45"/>
        <v>1.2391270000000001</v>
      </c>
      <c r="F1443" s="1">
        <v>2125</v>
      </c>
      <c r="G1443" s="2">
        <v>32608.6</v>
      </c>
      <c r="H1443" s="1">
        <v>106695</v>
      </c>
      <c r="M1443" t="s">
        <v>623</v>
      </c>
      <c r="N1443" t="s">
        <v>1608</v>
      </c>
    </row>
    <row r="1444" spans="1:14" x14ac:dyDescent="0.25">
      <c r="A1444" t="s">
        <v>624</v>
      </c>
      <c r="B1444" t="str">
        <f t="shared" si="44"/>
        <v>p__Pseudomonadota</v>
      </c>
      <c r="C1444" s="1">
        <v>26</v>
      </c>
      <c r="D1444" s="3">
        <v>864222</v>
      </c>
      <c r="E1444" s="3">
        <f t="shared" si="45"/>
        <v>0.86422200000000005</v>
      </c>
      <c r="F1444" s="1">
        <v>9061</v>
      </c>
      <c r="G1444" s="2">
        <v>33239.300000000003</v>
      </c>
      <c r="H1444" s="1">
        <v>82815</v>
      </c>
      <c r="M1444" t="s">
        <v>624</v>
      </c>
      <c r="N1444" t="s">
        <v>1608</v>
      </c>
    </row>
    <row r="1445" spans="1:14" x14ac:dyDescent="0.25">
      <c r="A1445" t="s">
        <v>625</v>
      </c>
      <c r="B1445" t="str">
        <f t="shared" si="44"/>
        <v>p__Pseudomonadota</v>
      </c>
      <c r="C1445" s="1">
        <v>19</v>
      </c>
      <c r="D1445" s="3">
        <v>1353613</v>
      </c>
      <c r="E1445" s="3">
        <f t="shared" si="45"/>
        <v>1.353613</v>
      </c>
      <c r="F1445" s="1">
        <v>2112</v>
      </c>
      <c r="G1445" s="2">
        <v>71242.8</v>
      </c>
      <c r="H1445" s="1">
        <v>435208</v>
      </c>
      <c r="M1445" t="s">
        <v>625</v>
      </c>
      <c r="N1445" t="s">
        <v>1608</v>
      </c>
    </row>
    <row r="1446" spans="1:14" x14ac:dyDescent="0.25">
      <c r="A1446" t="s">
        <v>626</v>
      </c>
      <c r="B1446" t="str">
        <f t="shared" si="44"/>
        <v>p__Pseudomonadota</v>
      </c>
      <c r="C1446" s="1">
        <v>69</v>
      </c>
      <c r="D1446" s="3">
        <v>878929</v>
      </c>
      <c r="E1446" s="3">
        <f t="shared" si="45"/>
        <v>0.87892899999999996</v>
      </c>
      <c r="F1446" s="1">
        <v>2027</v>
      </c>
      <c r="G1446" s="2">
        <v>12738.1</v>
      </c>
      <c r="H1446" s="1">
        <v>107036</v>
      </c>
      <c r="M1446" t="s">
        <v>626</v>
      </c>
      <c r="N1446" t="s">
        <v>1608</v>
      </c>
    </row>
    <row r="1447" spans="1:14" x14ac:dyDescent="0.25">
      <c r="A1447" t="s">
        <v>627</v>
      </c>
      <c r="B1447" t="str">
        <f t="shared" si="44"/>
        <v>p__Pseudomonadota</v>
      </c>
      <c r="C1447" s="1">
        <v>43</v>
      </c>
      <c r="D1447" s="3">
        <v>1500138</v>
      </c>
      <c r="E1447" s="3">
        <f t="shared" si="45"/>
        <v>1.500138</v>
      </c>
      <c r="F1447" s="1">
        <v>2155</v>
      </c>
      <c r="G1447" s="2">
        <v>34886.9</v>
      </c>
      <c r="H1447" s="1">
        <v>118705</v>
      </c>
      <c r="M1447" t="s">
        <v>627</v>
      </c>
      <c r="N1447" t="s">
        <v>1608</v>
      </c>
    </row>
    <row r="1448" spans="1:14" x14ac:dyDescent="0.25">
      <c r="A1448" t="s">
        <v>628</v>
      </c>
      <c r="B1448" t="str">
        <f t="shared" si="44"/>
        <v>p__Pseudomonadota</v>
      </c>
      <c r="C1448" s="1">
        <v>25</v>
      </c>
      <c r="D1448" s="3">
        <v>1712321</v>
      </c>
      <c r="E1448" s="3">
        <f t="shared" si="45"/>
        <v>1.712321</v>
      </c>
      <c r="F1448" s="1">
        <v>2196</v>
      </c>
      <c r="G1448" s="2">
        <v>68492.800000000003</v>
      </c>
      <c r="H1448" s="1">
        <v>200644</v>
      </c>
      <c r="M1448" t="s">
        <v>628</v>
      </c>
      <c r="N1448" t="s">
        <v>1608</v>
      </c>
    </row>
    <row r="1449" spans="1:14" x14ac:dyDescent="0.25">
      <c r="A1449" t="s">
        <v>629</v>
      </c>
      <c r="B1449" t="str">
        <f t="shared" si="44"/>
        <v>p__Pseudomonadota</v>
      </c>
      <c r="C1449" s="1">
        <v>5</v>
      </c>
      <c r="D1449" s="3">
        <v>1707003</v>
      </c>
      <c r="E1449" s="3">
        <f t="shared" si="45"/>
        <v>1.707003</v>
      </c>
      <c r="F1449" s="1">
        <v>56448</v>
      </c>
      <c r="G1449" s="2">
        <v>341400.6</v>
      </c>
      <c r="H1449" s="1">
        <v>1158303</v>
      </c>
      <c r="M1449" t="s">
        <v>629</v>
      </c>
      <c r="N1449" t="s">
        <v>1608</v>
      </c>
    </row>
    <row r="1450" spans="1:14" x14ac:dyDescent="0.25">
      <c r="A1450" t="s">
        <v>630</v>
      </c>
      <c r="B1450" t="str">
        <f t="shared" si="44"/>
        <v>p__Pseudomonadota</v>
      </c>
      <c r="C1450" s="1">
        <v>24</v>
      </c>
      <c r="D1450" s="3">
        <v>1439364</v>
      </c>
      <c r="E1450" s="3">
        <f t="shared" si="45"/>
        <v>1.4393640000000001</v>
      </c>
      <c r="F1450" s="1">
        <v>2000</v>
      </c>
      <c r="G1450" s="2">
        <v>59973.5</v>
      </c>
      <c r="H1450" s="1">
        <v>231948</v>
      </c>
      <c r="M1450" t="s">
        <v>630</v>
      </c>
      <c r="N1450" t="s">
        <v>1608</v>
      </c>
    </row>
    <row r="1451" spans="1:14" x14ac:dyDescent="0.25">
      <c r="A1451" t="s">
        <v>631</v>
      </c>
      <c r="B1451" t="str">
        <f t="shared" si="44"/>
        <v>p__Pseudomonadota</v>
      </c>
      <c r="C1451" s="1">
        <v>33</v>
      </c>
      <c r="D1451" s="3">
        <v>1281537</v>
      </c>
      <c r="E1451" s="3">
        <f t="shared" si="45"/>
        <v>1.2815369999999999</v>
      </c>
      <c r="F1451" s="1">
        <v>2086</v>
      </c>
      <c r="G1451" s="2">
        <v>38834.5</v>
      </c>
      <c r="H1451" s="1">
        <v>223664</v>
      </c>
      <c r="M1451" t="s">
        <v>631</v>
      </c>
      <c r="N1451" t="s">
        <v>1608</v>
      </c>
    </row>
    <row r="1452" spans="1:14" x14ac:dyDescent="0.25">
      <c r="A1452" t="s">
        <v>632</v>
      </c>
      <c r="B1452" t="str">
        <f t="shared" si="44"/>
        <v>p__Pseudomonadota</v>
      </c>
      <c r="C1452" s="1">
        <v>22</v>
      </c>
      <c r="D1452" s="3">
        <v>2258769</v>
      </c>
      <c r="E1452" s="3">
        <f t="shared" si="45"/>
        <v>2.258769</v>
      </c>
      <c r="F1452" s="1">
        <v>7069</v>
      </c>
      <c r="G1452" s="2">
        <v>102671.3</v>
      </c>
      <c r="H1452" s="1">
        <v>443841</v>
      </c>
      <c r="M1452" t="s">
        <v>632</v>
      </c>
      <c r="N1452" t="s">
        <v>1608</v>
      </c>
    </row>
    <row r="1453" spans="1:14" x14ac:dyDescent="0.25">
      <c r="A1453" t="s">
        <v>633</v>
      </c>
      <c r="B1453" t="str">
        <f t="shared" si="44"/>
        <v>p__Pseudomonadota</v>
      </c>
      <c r="C1453" s="1">
        <v>31</v>
      </c>
      <c r="D1453" s="3">
        <v>2110170</v>
      </c>
      <c r="E1453" s="3">
        <f t="shared" si="45"/>
        <v>2.1101700000000001</v>
      </c>
      <c r="F1453" s="1">
        <v>2115</v>
      </c>
      <c r="G1453" s="1">
        <v>68070</v>
      </c>
      <c r="H1453" s="1">
        <v>228502</v>
      </c>
      <c r="M1453" t="s">
        <v>633</v>
      </c>
      <c r="N1453" t="s">
        <v>1608</v>
      </c>
    </row>
    <row r="1454" spans="1:14" x14ac:dyDescent="0.25">
      <c r="A1454" t="s">
        <v>634</v>
      </c>
      <c r="B1454" t="str">
        <f t="shared" si="44"/>
        <v>p__Pseudomonadota</v>
      </c>
      <c r="C1454" s="1">
        <v>29</v>
      </c>
      <c r="D1454" s="3">
        <v>1007940</v>
      </c>
      <c r="E1454" s="3">
        <f t="shared" si="45"/>
        <v>1.0079400000000001</v>
      </c>
      <c r="F1454" s="1">
        <v>8680</v>
      </c>
      <c r="G1454" s="2">
        <v>34756.6</v>
      </c>
      <c r="H1454" s="1">
        <v>198809</v>
      </c>
      <c r="M1454" t="s">
        <v>634</v>
      </c>
      <c r="N1454" t="s">
        <v>1608</v>
      </c>
    </row>
    <row r="1455" spans="1:14" x14ac:dyDescent="0.25">
      <c r="A1455" t="s">
        <v>635</v>
      </c>
      <c r="B1455" t="str">
        <f t="shared" si="44"/>
        <v>p__Pseudomonadota</v>
      </c>
      <c r="C1455" s="1">
        <v>7</v>
      </c>
      <c r="D1455" s="3">
        <v>749763</v>
      </c>
      <c r="E1455" s="3">
        <f t="shared" si="45"/>
        <v>0.74976299999999996</v>
      </c>
      <c r="F1455" s="1">
        <v>18028</v>
      </c>
      <c r="G1455" s="1">
        <v>107109</v>
      </c>
      <c r="H1455" s="1">
        <v>203654</v>
      </c>
      <c r="M1455" t="s">
        <v>635</v>
      </c>
      <c r="N1455" t="s">
        <v>1608</v>
      </c>
    </row>
    <row r="1456" spans="1:14" x14ac:dyDescent="0.25">
      <c r="A1456" t="s">
        <v>636</v>
      </c>
      <c r="B1456" t="str">
        <f t="shared" si="44"/>
        <v>p__Pseudomonadota</v>
      </c>
      <c r="C1456" s="1">
        <v>10</v>
      </c>
      <c r="D1456" s="3">
        <v>821326</v>
      </c>
      <c r="E1456" s="3">
        <f t="shared" si="45"/>
        <v>0.821326</v>
      </c>
      <c r="F1456" s="1">
        <v>10957</v>
      </c>
      <c r="G1456" s="2">
        <v>82132.600000000006</v>
      </c>
      <c r="H1456" s="1">
        <v>197984</v>
      </c>
      <c r="M1456" t="s">
        <v>636</v>
      </c>
      <c r="N1456" t="s">
        <v>1608</v>
      </c>
    </row>
    <row r="1457" spans="1:14" x14ac:dyDescent="0.25">
      <c r="A1457" t="s">
        <v>637</v>
      </c>
      <c r="B1457" t="str">
        <f t="shared" si="44"/>
        <v>p__Pseudomonadota</v>
      </c>
      <c r="C1457" s="1">
        <v>20</v>
      </c>
      <c r="D1457" s="3">
        <v>665644</v>
      </c>
      <c r="E1457" s="3">
        <f t="shared" si="45"/>
        <v>0.66564400000000001</v>
      </c>
      <c r="F1457" s="1">
        <v>2062</v>
      </c>
      <c r="G1457" s="2">
        <v>33282.199999999997</v>
      </c>
      <c r="H1457" s="1">
        <v>105822</v>
      </c>
      <c r="M1457" t="s">
        <v>637</v>
      </c>
      <c r="N1457" t="s">
        <v>1608</v>
      </c>
    </row>
    <row r="1458" spans="1:14" x14ac:dyDescent="0.25">
      <c r="A1458" t="s">
        <v>638</v>
      </c>
      <c r="B1458" t="str">
        <f t="shared" si="44"/>
        <v>p__Pseudomonadota</v>
      </c>
      <c r="C1458" s="1">
        <v>7</v>
      </c>
      <c r="D1458" s="3">
        <v>760825</v>
      </c>
      <c r="E1458" s="3">
        <f t="shared" si="45"/>
        <v>0.76082499999999997</v>
      </c>
      <c r="F1458" s="1">
        <v>9294</v>
      </c>
      <c r="G1458" s="2">
        <v>108689.3</v>
      </c>
      <c r="H1458" s="1">
        <v>264310</v>
      </c>
      <c r="M1458" t="s">
        <v>638</v>
      </c>
      <c r="N1458" t="s">
        <v>1608</v>
      </c>
    </row>
    <row r="1459" spans="1:14" x14ac:dyDescent="0.25">
      <c r="A1459" t="s">
        <v>639</v>
      </c>
      <c r="B1459" t="str">
        <f t="shared" si="44"/>
        <v>p__Pseudomonadota</v>
      </c>
      <c r="C1459" s="1">
        <v>4</v>
      </c>
      <c r="D1459" s="3">
        <v>1014768</v>
      </c>
      <c r="E1459" s="3">
        <f t="shared" si="45"/>
        <v>1.0147679999999999</v>
      </c>
      <c r="F1459" s="1">
        <v>2081</v>
      </c>
      <c r="G1459" s="1">
        <v>253692</v>
      </c>
      <c r="H1459" s="1">
        <v>1007233</v>
      </c>
      <c r="M1459" t="s">
        <v>639</v>
      </c>
      <c r="N1459" t="s">
        <v>1608</v>
      </c>
    </row>
    <row r="1460" spans="1:14" x14ac:dyDescent="0.25">
      <c r="A1460" t="s">
        <v>640</v>
      </c>
      <c r="B1460" t="str">
        <f t="shared" si="44"/>
        <v>p__Pseudomonadota</v>
      </c>
      <c r="C1460" s="1">
        <v>82</v>
      </c>
      <c r="D1460" s="3">
        <v>882668</v>
      </c>
      <c r="E1460" s="3">
        <f t="shared" si="45"/>
        <v>0.88266800000000001</v>
      </c>
      <c r="F1460" s="1">
        <v>2016</v>
      </c>
      <c r="G1460" s="2">
        <v>10764.2</v>
      </c>
      <c r="H1460" s="1">
        <v>128815</v>
      </c>
      <c r="M1460" t="s">
        <v>640</v>
      </c>
      <c r="N1460" t="s">
        <v>1608</v>
      </c>
    </row>
    <row r="1461" spans="1:14" x14ac:dyDescent="0.25">
      <c r="A1461" t="s">
        <v>641</v>
      </c>
      <c r="B1461" t="str">
        <f t="shared" si="44"/>
        <v>p__Pseudomonadota</v>
      </c>
      <c r="C1461" s="1">
        <v>12</v>
      </c>
      <c r="D1461" s="3">
        <v>753061</v>
      </c>
      <c r="E1461" s="3">
        <f t="shared" si="45"/>
        <v>0.75306099999999998</v>
      </c>
      <c r="F1461" s="1">
        <v>5249</v>
      </c>
      <c r="G1461" s="2">
        <v>62755.1</v>
      </c>
      <c r="H1461" s="1">
        <v>199507</v>
      </c>
      <c r="M1461" t="s">
        <v>641</v>
      </c>
      <c r="N1461" t="s">
        <v>1608</v>
      </c>
    </row>
    <row r="1462" spans="1:14" x14ac:dyDescent="0.25">
      <c r="A1462" t="s">
        <v>642</v>
      </c>
      <c r="B1462" t="str">
        <f t="shared" si="44"/>
        <v>p__Pseudomonadota</v>
      </c>
      <c r="C1462" s="1">
        <v>24</v>
      </c>
      <c r="D1462" s="3">
        <v>1408002</v>
      </c>
      <c r="E1462" s="3">
        <f t="shared" si="45"/>
        <v>1.408002</v>
      </c>
      <c r="F1462" s="1">
        <v>3527</v>
      </c>
      <c r="G1462" s="2">
        <v>58666.8</v>
      </c>
      <c r="H1462" s="1">
        <v>294382</v>
      </c>
      <c r="M1462" t="s">
        <v>642</v>
      </c>
      <c r="N1462" t="s">
        <v>1608</v>
      </c>
    </row>
    <row r="1463" spans="1:14" x14ac:dyDescent="0.25">
      <c r="A1463" t="s">
        <v>643</v>
      </c>
      <c r="B1463" t="str">
        <f t="shared" si="44"/>
        <v>p__Pseudomonadota</v>
      </c>
      <c r="C1463" s="1">
        <v>554</v>
      </c>
      <c r="D1463" s="3">
        <v>3526879</v>
      </c>
      <c r="E1463" s="3">
        <f t="shared" si="45"/>
        <v>3.5268790000000001</v>
      </c>
      <c r="F1463" s="2">
        <v>2000</v>
      </c>
      <c r="G1463" s="1">
        <v>6366.2</v>
      </c>
      <c r="H1463" s="1">
        <v>39959</v>
      </c>
      <c r="M1463" t="s">
        <v>643</v>
      </c>
      <c r="N1463" t="s">
        <v>1608</v>
      </c>
    </row>
    <row r="1464" spans="1:14" x14ac:dyDescent="0.25">
      <c r="A1464" t="s">
        <v>644</v>
      </c>
      <c r="B1464" t="str">
        <f t="shared" si="44"/>
        <v>p__Pseudomonadota</v>
      </c>
      <c r="C1464" s="1">
        <v>271</v>
      </c>
      <c r="D1464" s="3">
        <v>1308752</v>
      </c>
      <c r="E1464" s="3">
        <f t="shared" si="45"/>
        <v>1.3087519999999999</v>
      </c>
      <c r="F1464" s="2">
        <v>2010</v>
      </c>
      <c r="G1464" s="1">
        <v>4829.3</v>
      </c>
      <c r="H1464" s="1">
        <v>58721</v>
      </c>
      <c r="M1464" t="s">
        <v>644</v>
      </c>
      <c r="N1464" t="s">
        <v>1608</v>
      </c>
    </row>
    <row r="1465" spans="1:14" x14ac:dyDescent="0.25">
      <c r="A1465" t="s">
        <v>645</v>
      </c>
      <c r="B1465" t="str">
        <f t="shared" si="44"/>
        <v>p__Pseudomonadota</v>
      </c>
      <c r="C1465" s="1">
        <v>20</v>
      </c>
      <c r="D1465" s="3">
        <v>2271525</v>
      </c>
      <c r="E1465" s="3">
        <f t="shared" si="45"/>
        <v>2.271525</v>
      </c>
      <c r="F1465" s="1">
        <v>2760</v>
      </c>
      <c r="G1465" s="2">
        <v>113576.3</v>
      </c>
      <c r="H1465" s="1">
        <v>471294</v>
      </c>
      <c r="M1465" t="s">
        <v>645</v>
      </c>
      <c r="N1465" t="s">
        <v>1608</v>
      </c>
    </row>
    <row r="1466" spans="1:14" x14ac:dyDescent="0.25">
      <c r="A1466" t="s">
        <v>646</v>
      </c>
      <c r="B1466" t="str">
        <f t="shared" si="44"/>
        <v>p__Pseudomonadota</v>
      </c>
      <c r="C1466" s="1">
        <v>268</v>
      </c>
      <c r="D1466" s="3">
        <v>2367210</v>
      </c>
      <c r="E1466" s="3">
        <f t="shared" si="45"/>
        <v>2.36721</v>
      </c>
      <c r="F1466" s="2">
        <v>2555</v>
      </c>
      <c r="G1466" s="1">
        <v>8832.9</v>
      </c>
      <c r="H1466" s="1">
        <v>52647</v>
      </c>
      <c r="M1466" t="s">
        <v>646</v>
      </c>
      <c r="N1466" t="s">
        <v>1608</v>
      </c>
    </row>
    <row r="1467" spans="1:14" x14ac:dyDescent="0.25">
      <c r="A1467" t="s">
        <v>647</v>
      </c>
      <c r="B1467" t="str">
        <f t="shared" si="44"/>
        <v>p__Pseudomonadota</v>
      </c>
      <c r="C1467" s="1">
        <v>14</v>
      </c>
      <c r="D1467" s="3">
        <v>1739632</v>
      </c>
      <c r="E1467" s="3">
        <f t="shared" si="45"/>
        <v>1.7396320000000001</v>
      </c>
      <c r="F1467" s="1">
        <v>2172</v>
      </c>
      <c r="G1467" s="2">
        <v>124259.4</v>
      </c>
      <c r="H1467" s="1">
        <v>1615430</v>
      </c>
      <c r="M1467" t="s">
        <v>647</v>
      </c>
      <c r="N1467" t="s">
        <v>1608</v>
      </c>
    </row>
    <row r="1468" spans="1:14" x14ac:dyDescent="0.25">
      <c r="A1468" t="s">
        <v>648</v>
      </c>
      <c r="B1468" t="str">
        <f t="shared" si="44"/>
        <v>p__Pseudomonadota</v>
      </c>
      <c r="C1468" s="1">
        <v>2</v>
      </c>
      <c r="D1468" s="3">
        <v>1020230</v>
      </c>
      <c r="E1468" s="3">
        <f t="shared" si="45"/>
        <v>1.02023</v>
      </c>
      <c r="F1468" s="1">
        <v>322087</v>
      </c>
      <c r="G1468" s="1">
        <v>510115</v>
      </c>
      <c r="H1468" s="1">
        <v>698143</v>
      </c>
      <c r="M1468" t="s">
        <v>648</v>
      </c>
      <c r="N1468" t="s">
        <v>1608</v>
      </c>
    </row>
    <row r="1469" spans="1:14" x14ac:dyDescent="0.25">
      <c r="A1469" t="s">
        <v>649</v>
      </c>
      <c r="B1469" t="str">
        <f t="shared" si="44"/>
        <v>p__Pseudomonadota</v>
      </c>
      <c r="C1469" s="1">
        <v>1</v>
      </c>
      <c r="D1469" s="3">
        <v>790450</v>
      </c>
      <c r="E1469" s="3">
        <f t="shared" si="45"/>
        <v>0.79044999999999999</v>
      </c>
      <c r="F1469" s="1">
        <v>790450</v>
      </c>
      <c r="G1469" s="1">
        <v>790450</v>
      </c>
      <c r="H1469" s="1">
        <v>790450</v>
      </c>
      <c r="M1469" t="s">
        <v>649</v>
      </c>
      <c r="N1469" t="s">
        <v>1608</v>
      </c>
    </row>
    <row r="1470" spans="1:14" x14ac:dyDescent="0.25">
      <c r="A1470" t="s">
        <v>650</v>
      </c>
      <c r="B1470" t="str">
        <f t="shared" si="44"/>
        <v>p__Pseudomonadota</v>
      </c>
      <c r="C1470" s="1">
        <v>345</v>
      </c>
      <c r="D1470" s="3">
        <v>2768334</v>
      </c>
      <c r="E1470" s="3">
        <f t="shared" si="45"/>
        <v>2.7683339999999999</v>
      </c>
      <c r="F1470" s="2">
        <v>2012</v>
      </c>
      <c r="G1470" s="1">
        <v>8024.2</v>
      </c>
      <c r="H1470" s="1">
        <v>54410</v>
      </c>
      <c r="M1470" t="s">
        <v>650</v>
      </c>
      <c r="N1470" t="s">
        <v>1608</v>
      </c>
    </row>
    <row r="1471" spans="1:14" x14ac:dyDescent="0.25">
      <c r="A1471" t="s">
        <v>651</v>
      </c>
      <c r="B1471" t="str">
        <f t="shared" si="44"/>
        <v>p__Pseudomonadota</v>
      </c>
      <c r="C1471" s="1">
        <v>123</v>
      </c>
      <c r="D1471" s="3">
        <v>3641929</v>
      </c>
      <c r="E1471" s="3">
        <f t="shared" si="45"/>
        <v>3.6419290000000002</v>
      </c>
      <c r="F1471" s="2">
        <v>2005</v>
      </c>
      <c r="G1471" s="1">
        <v>29609.200000000001</v>
      </c>
      <c r="H1471" s="1">
        <v>346135</v>
      </c>
      <c r="M1471" t="s">
        <v>651</v>
      </c>
      <c r="N1471" t="s">
        <v>1608</v>
      </c>
    </row>
    <row r="1472" spans="1:14" x14ac:dyDescent="0.25">
      <c r="A1472" t="s">
        <v>652</v>
      </c>
      <c r="B1472" t="str">
        <f t="shared" si="44"/>
        <v>p__Pseudomonadota</v>
      </c>
      <c r="C1472" s="1">
        <v>1037</v>
      </c>
      <c r="D1472" s="3">
        <v>4312093</v>
      </c>
      <c r="E1472" s="3">
        <f t="shared" si="45"/>
        <v>4.312093</v>
      </c>
      <c r="F1472" s="2">
        <v>2005</v>
      </c>
      <c r="G1472" s="1">
        <v>4158.2</v>
      </c>
      <c r="H1472" s="1">
        <v>33582</v>
      </c>
      <c r="M1472" t="s">
        <v>652</v>
      </c>
      <c r="N1472" t="s">
        <v>1608</v>
      </c>
    </row>
    <row r="1473" spans="1:14" x14ac:dyDescent="0.25">
      <c r="A1473" t="s">
        <v>1057</v>
      </c>
      <c r="B1473" t="str">
        <f t="shared" si="44"/>
        <v>p__Pseudomonadota</v>
      </c>
      <c r="C1473" s="1">
        <v>13</v>
      </c>
      <c r="D1473" s="3">
        <v>816522</v>
      </c>
      <c r="E1473" s="3">
        <f t="shared" si="45"/>
        <v>0.81652199999999997</v>
      </c>
      <c r="F1473" s="1">
        <v>3843</v>
      </c>
      <c r="G1473" s="2">
        <v>62809.4</v>
      </c>
      <c r="H1473" s="1">
        <v>166205</v>
      </c>
      <c r="M1473" t="s">
        <v>1057</v>
      </c>
      <c r="N1473" t="s">
        <v>1608</v>
      </c>
    </row>
    <row r="1474" spans="1:14" x14ac:dyDescent="0.25">
      <c r="A1474" t="s">
        <v>1058</v>
      </c>
      <c r="B1474" t="str">
        <f t="shared" ref="B1474:B1537" si="46">VLOOKUP(A1474,M:N,2,FALSE)</f>
        <v>p__Pseudomonadota</v>
      </c>
      <c r="C1474" s="1">
        <v>11</v>
      </c>
      <c r="D1474" s="3">
        <v>601145</v>
      </c>
      <c r="E1474" s="3">
        <f t="shared" ref="E1474:E1537" si="47">D1474/1000000</f>
        <v>0.60114500000000004</v>
      </c>
      <c r="F1474" s="1">
        <v>2605</v>
      </c>
      <c r="G1474" s="2">
        <v>54649.5</v>
      </c>
      <c r="H1474" s="1">
        <v>264753</v>
      </c>
      <c r="M1474" t="s">
        <v>1058</v>
      </c>
      <c r="N1474" t="s">
        <v>1608</v>
      </c>
    </row>
    <row r="1475" spans="1:14" x14ac:dyDescent="0.25">
      <c r="A1475" t="s">
        <v>1059</v>
      </c>
      <c r="B1475" t="str">
        <f t="shared" si="46"/>
        <v>p__Pseudomonadota</v>
      </c>
      <c r="C1475" s="1">
        <v>1</v>
      </c>
      <c r="D1475" s="3">
        <v>1089248</v>
      </c>
      <c r="E1475" s="3">
        <f t="shared" si="47"/>
        <v>1.089248</v>
      </c>
      <c r="F1475" s="1">
        <v>1089248</v>
      </c>
      <c r="G1475" s="1">
        <v>1089248</v>
      </c>
      <c r="H1475" s="1">
        <v>1089248</v>
      </c>
      <c r="M1475" t="s">
        <v>1059</v>
      </c>
      <c r="N1475" t="s">
        <v>1608</v>
      </c>
    </row>
    <row r="1476" spans="1:14" x14ac:dyDescent="0.25">
      <c r="A1476" t="s">
        <v>1060</v>
      </c>
      <c r="B1476" t="str">
        <f t="shared" si="46"/>
        <v>p__Pseudomonadota</v>
      </c>
      <c r="C1476" s="1">
        <v>27</v>
      </c>
      <c r="D1476" s="3">
        <v>668335</v>
      </c>
      <c r="E1476" s="3">
        <f t="shared" si="47"/>
        <v>0.66833500000000001</v>
      </c>
      <c r="F1476" s="1">
        <v>4379</v>
      </c>
      <c r="G1476" s="2">
        <v>24753.1</v>
      </c>
      <c r="H1476" s="1">
        <v>112632</v>
      </c>
      <c r="M1476" t="s">
        <v>1060</v>
      </c>
      <c r="N1476" t="s">
        <v>1608</v>
      </c>
    </row>
    <row r="1477" spans="1:14" x14ac:dyDescent="0.25">
      <c r="A1477" t="s">
        <v>1061</v>
      </c>
      <c r="B1477" t="str">
        <f t="shared" si="46"/>
        <v>p__Pseudomonadota</v>
      </c>
      <c r="C1477" s="1">
        <v>18</v>
      </c>
      <c r="D1477" s="3">
        <v>968613</v>
      </c>
      <c r="E1477" s="3">
        <f t="shared" si="47"/>
        <v>0.96861299999999995</v>
      </c>
      <c r="F1477" s="1">
        <v>5849</v>
      </c>
      <c r="G1477" s="2">
        <v>53811.8</v>
      </c>
      <c r="H1477" s="1">
        <v>216193</v>
      </c>
      <c r="M1477" t="s">
        <v>1061</v>
      </c>
      <c r="N1477" t="s">
        <v>1608</v>
      </c>
    </row>
    <row r="1478" spans="1:14" x14ac:dyDescent="0.25">
      <c r="A1478" t="s">
        <v>1062</v>
      </c>
      <c r="B1478" t="str">
        <f t="shared" si="46"/>
        <v>p__Pseudomonadota</v>
      </c>
      <c r="C1478" s="1">
        <v>13</v>
      </c>
      <c r="D1478" s="3">
        <v>849167</v>
      </c>
      <c r="E1478" s="3">
        <f t="shared" si="47"/>
        <v>0.84916700000000001</v>
      </c>
      <c r="F1478" s="1">
        <v>2146</v>
      </c>
      <c r="G1478" s="2">
        <v>65320.5</v>
      </c>
      <c r="H1478" s="1">
        <v>196588</v>
      </c>
      <c r="M1478" t="s">
        <v>1062</v>
      </c>
      <c r="N1478" t="s">
        <v>1608</v>
      </c>
    </row>
    <row r="1479" spans="1:14" x14ac:dyDescent="0.25">
      <c r="A1479" t="s">
        <v>1063</v>
      </c>
      <c r="B1479" t="str">
        <f t="shared" si="46"/>
        <v>p__Pseudomonadota</v>
      </c>
      <c r="C1479" s="1">
        <v>347</v>
      </c>
      <c r="D1479" s="3">
        <v>1808597</v>
      </c>
      <c r="E1479" s="3">
        <f t="shared" si="47"/>
        <v>1.808597</v>
      </c>
      <c r="F1479" s="2">
        <v>2008</v>
      </c>
      <c r="G1479" s="1">
        <v>5212.1000000000004</v>
      </c>
      <c r="H1479" s="1">
        <v>26176</v>
      </c>
      <c r="M1479" t="s">
        <v>1063</v>
      </c>
      <c r="N1479" t="s">
        <v>1608</v>
      </c>
    </row>
    <row r="1480" spans="1:14" x14ac:dyDescent="0.25">
      <c r="A1480" t="s">
        <v>1064</v>
      </c>
      <c r="B1480" t="str">
        <f t="shared" si="46"/>
        <v>p__Pseudomonadota</v>
      </c>
      <c r="C1480" s="1">
        <v>153</v>
      </c>
      <c r="D1480" s="3">
        <v>1834032</v>
      </c>
      <c r="E1480" s="3">
        <f t="shared" si="47"/>
        <v>1.8340320000000001</v>
      </c>
      <c r="F1480" s="2">
        <v>2533</v>
      </c>
      <c r="G1480" s="1">
        <v>11987.1</v>
      </c>
      <c r="H1480" s="1">
        <v>100303</v>
      </c>
      <c r="M1480" t="s">
        <v>1064</v>
      </c>
      <c r="N1480" t="s">
        <v>1608</v>
      </c>
    </row>
    <row r="1481" spans="1:14" x14ac:dyDescent="0.25">
      <c r="A1481" t="s">
        <v>1065</v>
      </c>
      <c r="B1481" t="str">
        <f t="shared" si="46"/>
        <v>p__Pseudomonadota</v>
      </c>
      <c r="C1481" s="1">
        <v>174</v>
      </c>
      <c r="D1481" s="3">
        <v>2354672</v>
      </c>
      <c r="E1481" s="3">
        <f t="shared" si="47"/>
        <v>2.3546719999999999</v>
      </c>
      <c r="F1481" s="2">
        <v>2529</v>
      </c>
      <c r="G1481" s="1">
        <v>13532.6</v>
      </c>
      <c r="H1481" s="1">
        <v>78267</v>
      </c>
      <c r="M1481" t="s">
        <v>1065</v>
      </c>
      <c r="N1481" t="s">
        <v>1608</v>
      </c>
    </row>
    <row r="1482" spans="1:14" x14ac:dyDescent="0.25">
      <c r="A1482" t="s">
        <v>1066</v>
      </c>
      <c r="B1482" t="str">
        <f t="shared" si="46"/>
        <v>p__Pseudomonadota</v>
      </c>
      <c r="C1482" s="1">
        <v>10</v>
      </c>
      <c r="D1482" s="3">
        <v>1632689</v>
      </c>
      <c r="E1482" s="3">
        <f t="shared" si="47"/>
        <v>1.6326890000000001</v>
      </c>
      <c r="F1482" s="1">
        <v>19025</v>
      </c>
      <c r="G1482" s="2">
        <v>163268.9</v>
      </c>
      <c r="H1482" s="1">
        <v>531946</v>
      </c>
      <c r="M1482" t="s">
        <v>1066</v>
      </c>
      <c r="N1482" t="s">
        <v>1608</v>
      </c>
    </row>
    <row r="1483" spans="1:14" x14ac:dyDescent="0.25">
      <c r="A1483" t="s">
        <v>1067</v>
      </c>
      <c r="B1483" t="str">
        <f t="shared" si="46"/>
        <v>p__Pseudomonadota</v>
      </c>
      <c r="C1483" s="1">
        <v>6</v>
      </c>
      <c r="D1483" s="3">
        <v>2379120</v>
      </c>
      <c r="E1483" s="3">
        <f t="shared" si="47"/>
        <v>2.3791199999999999</v>
      </c>
      <c r="F1483" s="1">
        <v>114520</v>
      </c>
      <c r="G1483" s="1">
        <v>396520</v>
      </c>
      <c r="H1483" s="1">
        <v>662156</v>
      </c>
      <c r="M1483" t="s">
        <v>1067</v>
      </c>
      <c r="N1483" t="s">
        <v>1608</v>
      </c>
    </row>
    <row r="1484" spans="1:14" x14ac:dyDescent="0.25">
      <c r="A1484" t="s">
        <v>1068</v>
      </c>
      <c r="B1484" t="str">
        <f t="shared" si="46"/>
        <v>p__Pseudomonadota</v>
      </c>
      <c r="C1484" s="1">
        <v>153</v>
      </c>
      <c r="D1484" s="3">
        <v>2516281</v>
      </c>
      <c r="E1484" s="3">
        <f t="shared" si="47"/>
        <v>2.5162810000000002</v>
      </c>
      <c r="F1484" s="2">
        <v>2003</v>
      </c>
      <c r="G1484" s="1">
        <v>16446.3</v>
      </c>
      <c r="H1484" s="1">
        <v>338994</v>
      </c>
      <c r="M1484" t="s">
        <v>1068</v>
      </c>
      <c r="N1484" t="s">
        <v>1608</v>
      </c>
    </row>
    <row r="1485" spans="1:14" x14ac:dyDescent="0.25">
      <c r="A1485" t="s">
        <v>1069</v>
      </c>
      <c r="B1485" t="str">
        <f t="shared" si="46"/>
        <v>p__Pseudomonadota</v>
      </c>
      <c r="C1485" s="1">
        <v>26</v>
      </c>
      <c r="D1485" s="3">
        <v>5186271</v>
      </c>
      <c r="E1485" s="3">
        <f t="shared" si="47"/>
        <v>5.1862709999999996</v>
      </c>
      <c r="F1485" s="1">
        <v>3510</v>
      </c>
      <c r="G1485" s="1">
        <v>199472</v>
      </c>
      <c r="H1485" s="1">
        <v>986505</v>
      </c>
      <c r="M1485" t="s">
        <v>1069</v>
      </c>
      <c r="N1485" t="s">
        <v>1608</v>
      </c>
    </row>
    <row r="1486" spans="1:14" x14ac:dyDescent="0.25">
      <c r="A1486" t="s">
        <v>1070</v>
      </c>
      <c r="B1486" t="str">
        <f t="shared" si="46"/>
        <v>p__Pseudomonadota</v>
      </c>
      <c r="C1486" s="1">
        <v>9</v>
      </c>
      <c r="D1486" s="3">
        <v>1909005</v>
      </c>
      <c r="E1486" s="3">
        <f t="shared" si="47"/>
        <v>1.9090050000000001</v>
      </c>
      <c r="F1486" s="1">
        <v>25584</v>
      </c>
      <c r="G1486" s="2">
        <v>212111.7</v>
      </c>
      <c r="H1486" s="1">
        <v>655515</v>
      </c>
      <c r="M1486" t="s">
        <v>1070</v>
      </c>
      <c r="N1486" t="s">
        <v>1608</v>
      </c>
    </row>
    <row r="1487" spans="1:14" x14ac:dyDescent="0.25">
      <c r="A1487" t="s">
        <v>1071</v>
      </c>
      <c r="B1487" t="str">
        <f t="shared" si="46"/>
        <v>p__Pseudomonadota</v>
      </c>
      <c r="C1487" s="1">
        <v>4</v>
      </c>
      <c r="D1487" s="3">
        <v>3670942</v>
      </c>
      <c r="E1487" s="3">
        <f t="shared" si="47"/>
        <v>3.6709420000000001</v>
      </c>
      <c r="F1487" s="1">
        <v>194350</v>
      </c>
      <c r="G1487" s="2">
        <v>917735.5</v>
      </c>
      <c r="H1487" s="1">
        <v>1813145</v>
      </c>
      <c r="M1487" t="s">
        <v>1071</v>
      </c>
      <c r="N1487" t="s">
        <v>1608</v>
      </c>
    </row>
    <row r="1488" spans="1:14" x14ac:dyDescent="0.25">
      <c r="A1488" t="s">
        <v>1072</v>
      </c>
      <c r="B1488" t="str">
        <f t="shared" si="46"/>
        <v>p__Pseudomonadota</v>
      </c>
      <c r="C1488" s="1">
        <v>5</v>
      </c>
      <c r="D1488" s="3">
        <v>6367992</v>
      </c>
      <c r="E1488" s="3">
        <f t="shared" si="47"/>
        <v>6.3679920000000001</v>
      </c>
      <c r="F1488" s="1">
        <v>6556</v>
      </c>
      <c r="G1488" s="2">
        <v>1273598.3999999999</v>
      </c>
      <c r="H1488" s="1">
        <v>4138241</v>
      </c>
      <c r="M1488" t="s">
        <v>1072</v>
      </c>
      <c r="N1488" t="s">
        <v>1608</v>
      </c>
    </row>
    <row r="1489" spans="1:14" x14ac:dyDescent="0.25">
      <c r="A1489" t="s">
        <v>1073</v>
      </c>
      <c r="B1489" t="str">
        <f t="shared" si="46"/>
        <v>p__Pseudomonadota</v>
      </c>
      <c r="C1489" s="1">
        <v>11</v>
      </c>
      <c r="D1489" s="3">
        <v>6868700</v>
      </c>
      <c r="E1489" s="3">
        <f t="shared" si="47"/>
        <v>6.8686999999999996</v>
      </c>
      <c r="F1489" s="1">
        <v>34299</v>
      </c>
      <c r="G1489" s="2">
        <v>624427.30000000005</v>
      </c>
      <c r="H1489" s="1">
        <v>2728051</v>
      </c>
      <c r="M1489" t="s">
        <v>1073</v>
      </c>
      <c r="N1489" t="s">
        <v>1608</v>
      </c>
    </row>
    <row r="1490" spans="1:14" x14ac:dyDescent="0.25">
      <c r="A1490" t="s">
        <v>1541</v>
      </c>
      <c r="B1490" t="str">
        <f t="shared" si="46"/>
        <v>p__Pseudomonadota</v>
      </c>
      <c r="C1490" s="1">
        <v>13</v>
      </c>
      <c r="D1490" s="3">
        <v>1451855</v>
      </c>
      <c r="E1490" s="3">
        <f t="shared" si="47"/>
        <v>1.4518549999999999</v>
      </c>
      <c r="F1490" s="1">
        <v>18588</v>
      </c>
      <c r="G1490" s="2">
        <v>111681.2</v>
      </c>
      <c r="H1490" s="1">
        <v>302993</v>
      </c>
      <c r="M1490" t="s">
        <v>1541</v>
      </c>
      <c r="N1490" t="s">
        <v>1608</v>
      </c>
    </row>
    <row r="1491" spans="1:14" x14ac:dyDescent="0.25">
      <c r="A1491" t="s">
        <v>1542</v>
      </c>
      <c r="B1491" t="str">
        <f t="shared" si="46"/>
        <v>p__Pseudomonadota</v>
      </c>
      <c r="C1491" s="1">
        <v>107</v>
      </c>
      <c r="D1491" s="3">
        <v>1709044</v>
      </c>
      <c r="E1491" s="3">
        <f t="shared" si="47"/>
        <v>1.709044</v>
      </c>
      <c r="F1491" s="2">
        <v>2031</v>
      </c>
      <c r="G1491" s="1">
        <v>15972.4</v>
      </c>
      <c r="H1491" s="1">
        <v>147052</v>
      </c>
      <c r="M1491" t="s">
        <v>1542</v>
      </c>
      <c r="N1491" t="s">
        <v>1608</v>
      </c>
    </row>
    <row r="1492" spans="1:14" x14ac:dyDescent="0.25">
      <c r="A1492" t="s">
        <v>1543</v>
      </c>
      <c r="B1492" t="str">
        <f t="shared" si="46"/>
        <v>p__Pseudomonadota</v>
      </c>
      <c r="C1492" s="1">
        <v>23</v>
      </c>
      <c r="D1492" s="3">
        <v>1915240</v>
      </c>
      <c r="E1492" s="3">
        <f t="shared" si="47"/>
        <v>1.9152400000000001</v>
      </c>
      <c r="F1492" s="1">
        <v>4196</v>
      </c>
      <c r="G1492" s="2">
        <v>83271.3</v>
      </c>
      <c r="H1492" s="1">
        <v>383591</v>
      </c>
      <c r="M1492" t="s">
        <v>1543</v>
      </c>
      <c r="N1492" t="s">
        <v>1608</v>
      </c>
    </row>
    <row r="1493" spans="1:14" x14ac:dyDescent="0.25">
      <c r="A1493" t="s">
        <v>1544</v>
      </c>
      <c r="B1493" t="str">
        <f t="shared" si="46"/>
        <v>p__Pseudomonadota</v>
      </c>
      <c r="C1493" s="1">
        <v>18</v>
      </c>
      <c r="D1493" s="3">
        <v>1353049</v>
      </c>
      <c r="E1493" s="3">
        <f t="shared" si="47"/>
        <v>1.3530489999999999</v>
      </c>
      <c r="F1493" s="1">
        <v>9570</v>
      </c>
      <c r="G1493" s="2">
        <v>75169.399999999994</v>
      </c>
      <c r="H1493" s="1">
        <v>297952</v>
      </c>
      <c r="M1493" t="s">
        <v>1544</v>
      </c>
      <c r="N1493" t="s">
        <v>1608</v>
      </c>
    </row>
    <row r="1494" spans="1:14" x14ac:dyDescent="0.25">
      <c r="A1494" t="s">
        <v>1545</v>
      </c>
      <c r="B1494" t="str">
        <f t="shared" si="46"/>
        <v>p__Pseudomonadota</v>
      </c>
      <c r="C1494" s="1">
        <v>5</v>
      </c>
      <c r="D1494" s="3">
        <v>1612817</v>
      </c>
      <c r="E1494" s="3">
        <f t="shared" si="47"/>
        <v>1.6128169999999999</v>
      </c>
      <c r="F1494" s="1">
        <v>2458</v>
      </c>
      <c r="G1494" s="2">
        <v>322563.40000000002</v>
      </c>
      <c r="H1494" s="1">
        <v>835008</v>
      </c>
      <c r="M1494" t="s">
        <v>1545</v>
      </c>
      <c r="N1494" t="s">
        <v>1608</v>
      </c>
    </row>
    <row r="1495" spans="1:14" x14ac:dyDescent="0.25">
      <c r="A1495" t="s">
        <v>1546</v>
      </c>
      <c r="B1495" t="str">
        <f t="shared" si="46"/>
        <v>p__Pseudomonadota</v>
      </c>
      <c r="C1495" s="1">
        <v>1</v>
      </c>
      <c r="D1495" s="3">
        <v>1418545</v>
      </c>
      <c r="E1495" s="3">
        <f t="shared" si="47"/>
        <v>1.4185449999999999</v>
      </c>
      <c r="F1495" s="1">
        <v>1418545</v>
      </c>
      <c r="G1495" s="1">
        <v>1418545</v>
      </c>
      <c r="H1495" s="1">
        <v>1418545</v>
      </c>
      <c r="M1495" t="s">
        <v>1546</v>
      </c>
      <c r="N1495" t="s">
        <v>1608</v>
      </c>
    </row>
    <row r="1496" spans="1:14" x14ac:dyDescent="0.25">
      <c r="A1496" t="s">
        <v>1547</v>
      </c>
      <c r="B1496" t="str">
        <f t="shared" si="46"/>
        <v>p__Pseudomonadota</v>
      </c>
      <c r="C1496" s="1">
        <v>1</v>
      </c>
      <c r="D1496" s="3">
        <v>1830886</v>
      </c>
      <c r="E1496" s="3">
        <f t="shared" si="47"/>
        <v>1.830886</v>
      </c>
      <c r="F1496" s="1">
        <v>1830886</v>
      </c>
      <c r="G1496" s="1">
        <v>1830886</v>
      </c>
      <c r="H1496" s="1">
        <v>1830886</v>
      </c>
      <c r="M1496" t="s">
        <v>1547</v>
      </c>
      <c r="N1496" t="s">
        <v>1608</v>
      </c>
    </row>
    <row r="1497" spans="1:14" x14ac:dyDescent="0.25">
      <c r="A1497" t="s">
        <v>1548</v>
      </c>
      <c r="B1497" t="str">
        <f t="shared" si="46"/>
        <v>p__Pseudomonadota</v>
      </c>
      <c r="C1497" s="1">
        <v>1</v>
      </c>
      <c r="D1497" s="3">
        <v>1748561</v>
      </c>
      <c r="E1497" s="3">
        <f t="shared" si="47"/>
        <v>1.748561</v>
      </c>
      <c r="F1497" s="1">
        <v>1748561</v>
      </c>
      <c r="G1497" s="1">
        <v>1748561</v>
      </c>
      <c r="H1497" s="1">
        <v>1748561</v>
      </c>
      <c r="M1497" t="s">
        <v>1548</v>
      </c>
      <c r="N1497" t="s">
        <v>1608</v>
      </c>
    </row>
    <row r="1498" spans="1:14" x14ac:dyDescent="0.25">
      <c r="A1498" t="s">
        <v>1549</v>
      </c>
      <c r="B1498" t="str">
        <f t="shared" si="46"/>
        <v>p__Pseudomonadota</v>
      </c>
      <c r="C1498" s="1">
        <v>1</v>
      </c>
      <c r="D1498" s="3">
        <v>1749484</v>
      </c>
      <c r="E1498" s="3">
        <f t="shared" si="47"/>
        <v>1.749484</v>
      </c>
      <c r="F1498" s="1">
        <v>1749484</v>
      </c>
      <c r="G1498" s="1">
        <v>1749484</v>
      </c>
      <c r="H1498" s="1">
        <v>1749484</v>
      </c>
      <c r="M1498" t="s">
        <v>1549</v>
      </c>
      <c r="N1498" t="s">
        <v>1608</v>
      </c>
    </row>
    <row r="1499" spans="1:14" x14ac:dyDescent="0.25">
      <c r="A1499" t="s">
        <v>1550</v>
      </c>
      <c r="B1499" t="str">
        <f t="shared" si="46"/>
        <v>p__Pseudomonadota</v>
      </c>
      <c r="C1499" s="1">
        <v>5</v>
      </c>
      <c r="D1499" s="3">
        <v>2003910</v>
      </c>
      <c r="E1499" s="3">
        <f t="shared" si="47"/>
        <v>2.0039099999999999</v>
      </c>
      <c r="F1499" s="1">
        <v>19722</v>
      </c>
      <c r="G1499" s="1">
        <v>400782</v>
      </c>
      <c r="H1499" s="1">
        <v>1237712</v>
      </c>
      <c r="M1499" t="s">
        <v>1550</v>
      </c>
      <c r="N1499" t="s">
        <v>1608</v>
      </c>
    </row>
    <row r="1500" spans="1:14" x14ac:dyDescent="0.25">
      <c r="A1500" t="s">
        <v>1551</v>
      </c>
      <c r="B1500" t="str">
        <f t="shared" si="46"/>
        <v>p__Pseudomonadota</v>
      </c>
      <c r="C1500" s="1">
        <v>1</v>
      </c>
      <c r="D1500" s="3">
        <v>1967458</v>
      </c>
      <c r="E1500" s="3">
        <f t="shared" si="47"/>
        <v>1.9674579999999999</v>
      </c>
      <c r="F1500" s="1">
        <v>1967458</v>
      </c>
      <c r="G1500" s="1">
        <v>1967458</v>
      </c>
      <c r="H1500" s="1">
        <v>1967458</v>
      </c>
      <c r="M1500" t="s">
        <v>1551</v>
      </c>
      <c r="N1500" t="s">
        <v>1608</v>
      </c>
    </row>
    <row r="1501" spans="1:14" x14ac:dyDescent="0.25">
      <c r="A1501" t="s">
        <v>1552</v>
      </c>
      <c r="B1501" t="str">
        <f t="shared" si="46"/>
        <v>p__Pseudomonadota</v>
      </c>
      <c r="C1501" s="1">
        <v>1</v>
      </c>
      <c r="D1501" s="3">
        <v>2312247</v>
      </c>
      <c r="E1501" s="3">
        <f t="shared" si="47"/>
        <v>2.3122470000000002</v>
      </c>
      <c r="F1501" s="1">
        <v>2312247</v>
      </c>
      <c r="G1501" s="1">
        <v>2312247</v>
      </c>
      <c r="H1501" s="1">
        <v>2312247</v>
      </c>
      <c r="M1501" t="s">
        <v>1552</v>
      </c>
      <c r="N1501" t="s">
        <v>1608</v>
      </c>
    </row>
    <row r="1502" spans="1:14" x14ac:dyDescent="0.25">
      <c r="A1502" t="s">
        <v>1553</v>
      </c>
      <c r="B1502" t="str">
        <f t="shared" si="46"/>
        <v>p__Pseudomonadota</v>
      </c>
      <c r="C1502" s="1">
        <v>3</v>
      </c>
      <c r="D1502" s="3">
        <v>1820784</v>
      </c>
      <c r="E1502" s="3">
        <f t="shared" si="47"/>
        <v>1.820784</v>
      </c>
      <c r="F1502" s="1">
        <v>2119</v>
      </c>
      <c r="G1502" s="1">
        <v>606928</v>
      </c>
      <c r="H1502" s="1">
        <v>1426750</v>
      </c>
      <c r="M1502" t="s">
        <v>1553</v>
      </c>
      <c r="N1502" t="s">
        <v>1608</v>
      </c>
    </row>
    <row r="1503" spans="1:14" x14ac:dyDescent="0.25">
      <c r="A1503" t="s">
        <v>1554</v>
      </c>
      <c r="B1503" t="str">
        <f t="shared" si="46"/>
        <v>p__Pseudomonadota</v>
      </c>
      <c r="C1503" s="1">
        <v>2</v>
      </c>
      <c r="D1503" s="3">
        <v>953424</v>
      </c>
      <c r="E1503" s="3">
        <f t="shared" si="47"/>
        <v>0.95342400000000005</v>
      </c>
      <c r="F1503" s="1">
        <v>37865</v>
      </c>
      <c r="G1503" s="1">
        <v>476712</v>
      </c>
      <c r="H1503" s="1">
        <v>915559</v>
      </c>
      <c r="M1503" t="s">
        <v>1554</v>
      </c>
      <c r="N1503" t="s">
        <v>1608</v>
      </c>
    </row>
    <row r="1504" spans="1:14" x14ac:dyDescent="0.25">
      <c r="A1504" t="s">
        <v>1555</v>
      </c>
      <c r="B1504" t="str">
        <f t="shared" si="46"/>
        <v>p__Pseudomonadota</v>
      </c>
      <c r="C1504" s="1">
        <v>8</v>
      </c>
      <c r="D1504" s="3">
        <v>769845</v>
      </c>
      <c r="E1504" s="3">
        <f t="shared" si="47"/>
        <v>0.769845</v>
      </c>
      <c r="F1504" s="1">
        <v>8114</v>
      </c>
      <c r="G1504" s="2">
        <v>96230.6</v>
      </c>
      <c r="H1504" s="1">
        <v>373915</v>
      </c>
      <c r="M1504" t="s">
        <v>1555</v>
      </c>
      <c r="N1504" t="s">
        <v>1608</v>
      </c>
    </row>
    <row r="1505" spans="1:14" x14ac:dyDescent="0.25">
      <c r="A1505" t="s">
        <v>1556</v>
      </c>
      <c r="B1505" t="str">
        <f t="shared" si="46"/>
        <v>p__Pseudomonadota</v>
      </c>
      <c r="C1505" s="1">
        <v>15</v>
      </c>
      <c r="D1505" s="3">
        <v>711717</v>
      </c>
      <c r="E1505" s="3">
        <f t="shared" si="47"/>
        <v>0.71171700000000004</v>
      </c>
      <c r="F1505" s="1">
        <v>3697</v>
      </c>
      <c r="G1505" s="2">
        <v>47447.8</v>
      </c>
      <c r="H1505" s="1">
        <v>192377</v>
      </c>
      <c r="M1505" t="s">
        <v>1556</v>
      </c>
      <c r="N1505" t="s">
        <v>1608</v>
      </c>
    </row>
    <row r="1506" spans="1:14" x14ac:dyDescent="0.25">
      <c r="A1506" t="s">
        <v>1557</v>
      </c>
      <c r="B1506" t="str">
        <f t="shared" si="46"/>
        <v>p__Pseudomonadota</v>
      </c>
      <c r="C1506" s="1">
        <v>3</v>
      </c>
      <c r="D1506" s="3">
        <v>1028764</v>
      </c>
      <c r="E1506" s="3">
        <f t="shared" si="47"/>
        <v>1.028764</v>
      </c>
      <c r="F1506" s="1">
        <v>61007</v>
      </c>
      <c r="G1506" s="2">
        <v>342921.3</v>
      </c>
      <c r="H1506" s="1">
        <v>574826</v>
      </c>
      <c r="M1506" t="s">
        <v>1557</v>
      </c>
      <c r="N1506" t="s">
        <v>1608</v>
      </c>
    </row>
    <row r="1507" spans="1:14" x14ac:dyDescent="0.25">
      <c r="A1507" t="s">
        <v>1558</v>
      </c>
      <c r="B1507" t="str">
        <f t="shared" si="46"/>
        <v>p__Pseudomonadota</v>
      </c>
      <c r="C1507" s="1">
        <v>4</v>
      </c>
      <c r="D1507" s="3">
        <v>991813</v>
      </c>
      <c r="E1507" s="3">
        <f t="shared" si="47"/>
        <v>0.99181299999999994</v>
      </c>
      <c r="F1507" s="1">
        <v>7267</v>
      </c>
      <c r="G1507" s="2">
        <v>247953.3</v>
      </c>
      <c r="H1507" s="1">
        <v>878470</v>
      </c>
      <c r="M1507" t="s">
        <v>1558</v>
      </c>
      <c r="N1507" t="s">
        <v>1608</v>
      </c>
    </row>
    <row r="1508" spans="1:14" x14ac:dyDescent="0.25">
      <c r="A1508" t="s">
        <v>1559</v>
      </c>
      <c r="B1508" t="str">
        <f t="shared" si="46"/>
        <v>p__Pseudomonadota</v>
      </c>
      <c r="C1508" s="1">
        <v>1</v>
      </c>
      <c r="D1508" s="3">
        <v>1106286</v>
      </c>
      <c r="E1508" s="3">
        <f t="shared" si="47"/>
        <v>1.1062860000000001</v>
      </c>
      <c r="F1508" s="1">
        <v>1106286</v>
      </c>
      <c r="G1508" s="1">
        <v>1106286</v>
      </c>
      <c r="H1508" s="1">
        <v>1106286</v>
      </c>
      <c r="M1508" t="s">
        <v>1559</v>
      </c>
      <c r="N1508" t="s">
        <v>1608</v>
      </c>
    </row>
    <row r="1509" spans="1:14" x14ac:dyDescent="0.25">
      <c r="A1509" t="s">
        <v>1560</v>
      </c>
      <c r="B1509" t="str">
        <f t="shared" si="46"/>
        <v>p__Pseudomonadota</v>
      </c>
      <c r="C1509" s="1">
        <v>4</v>
      </c>
      <c r="D1509" s="3">
        <v>999305</v>
      </c>
      <c r="E1509" s="3">
        <f t="shared" si="47"/>
        <v>0.999305</v>
      </c>
      <c r="F1509" s="1">
        <v>2124</v>
      </c>
      <c r="G1509" s="2">
        <v>249826.3</v>
      </c>
      <c r="H1509" s="1">
        <v>981419</v>
      </c>
      <c r="M1509" t="s">
        <v>1560</v>
      </c>
      <c r="N1509" t="s">
        <v>1608</v>
      </c>
    </row>
    <row r="1510" spans="1:14" x14ac:dyDescent="0.25">
      <c r="A1510" t="s">
        <v>1561</v>
      </c>
      <c r="B1510" t="str">
        <f t="shared" si="46"/>
        <v>p__Pseudomonadota</v>
      </c>
      <c r="C1510" s="1">
        <v>43</v>
      </c>
      <c r="D1510" s="3">
        <v>2061786</v>
      </c>
      <c r="E1510" s="3">
        <f t="shared" si="47"/>
        <v>2.0617860000000001</v>
      </c>
      <c r="F1510" s="1">
        <v>2372</v>
      </c>
      <c r="G1510" s="2">
        <v>47948.5</v>
      </c>
      <c r="H1510" s="1">
        <v>428174</v>
      </c>
      <c r="M1510" t="s">
        <v>1561</v>
      </c>
      <c r="N1510" t="s">
        <v>1608</v>
      </c>
    </row>
    <row r="1511" spans="1:14" x14ac:dyDescent="0.25">
      <c r="A1511" t="s">
        <v>1562</v>
      </c>
      <c r="B1511" t="str">
        <f t="shared" si="46"/>
        <v>p__Pseudomonadota</v>
      </c>
      <c r="C1511" s="1">
        <v>29</v>
      </c>
      <c r="D1511" s="3">
        <v>1635975</v>
      </c>
      <c r="E1511" s="3">
        <f t="shared" si="47"/>
        <v>1.635975</v>
      </c>
      <c r="F1511" s="1">
        <v>2250</v>
      </c>
      <c r="G1511" s="2">
        <v>56412.9</v>
      </c>
      <c r="H1511" s="1">
        <v>184506</v>
      </c>
      <c r="M1511" t="s">
        <v>1562</v>
      </c>
      <c r="N1511" t="s">
        <v>1608</v>
      </c>
    </row>
    <row r="1512" spans="1:14" x14ac:dyDescent="0.25">
      <c r="A1512" t="s">
        <v>1563</v>
      </c>
      <c r="B1512" t="str">
        <f t="shared" si="46"/>
        <v>p__Pseudomonadota</v>
      </c>
      <c r="C1512" s="1">
        <v>330</v>
      </c>
      <c r="D1512" s="3">
        <v>3058820</v>
      </c>
      <c r="E1512" s="3">
        <f t="shared" si="47"/>
        <v>3.0588199999999999</v>
      </c>
      <c r="F1512" s="2">
        <v>2018</v>
      </c>
      <c r="G1512" s="1">
        <v>9269.2000000000007</v>
      </c>
      <c r="H1512" s="1">
        <v>68459</v>
      </c>
      <c r="M1512" t="s">
        <v>1563</v>
      </c>
      <c r="N1512" t="s">
        <v>1608</v>
      </c>
    </row>
    <row r="1513" spans="1:14" x14ac:dyDescent="0.25">
      <c r="A1513" t="s">
        <v>1564</v>
      </c>
      <c r="B1513" t="str">
        <f t="shared" si="46"/>
        <v>p__Pseudomonadota</v>
      </c>
      <c r="C1513" s="1">
        <v>3</v>
      </c>
      <c r="D1513" s="3">
        <v>3994976</v>
      </c>
      <c r="E1513" s="3">
        <f t="shared" si="47"/>
        <v>3.9949759999999999</v>
      </c>
      <c r="F1513" s="1">
        <v>7766</v>
      </c>
      <c r="G1513" s="2">
        <v>1331658.7</v>
      </c>
      <c r="H1513" s="1">
        <v>3978870</v>
      </c>
      <c r="M1513" t="s">
        <v>1564</v>
      </c>
      <c r="N1513" t="s">
        <v>1608</v>
      </c>
    </row>
    <row r="1514" spans="1:14" x14ac:dyDescent="0.25">
      <c r="A1514" t="s">
        <v>1565</v>
      </c>
      <c r="B1514" t="str">
        <f t="shared" si="46"/>
        <v>p__Pseudomonadota</v>
      </c>
      <c r="C1514" s="1">
        <v>5</v>
      </c>
      <c r="D1514" s="3">
        <v>3317400</v>
      </c>
      <c r="E1514" s="3">
        <f t="shared" si="47"/>
        <v>3.3174000000000001</v>
      </c>
      <c r="F1514" s="1">
        <v>2167</v>
      </c>
      <c r="G1514" s="1">
        <v>663480</v>
      </c>
      <c r="H1514" s="1">
        <v>3256553</v>
      </c>
      <c r="M1514" t="s">
        <v>1565</v>
      </c>
      <c r="N1514" t="s">
        <v>1608</v>
      </c>
    </row>
    <row r="1515" spans="1:14" x14ac:dyDescent="0.25">
      <c r="A1515" t="s">
        <v>1566</v>
      </c>
      <c r="B1515" t="str">
        <f t="shared" si="46"/>
        <v>p__Pseudomonadota</v>
      </c>
      <c r="C1515" s="1">
        <v>8</v>
      </c>
      <c r="D1515" s="3">
        <v>5184375</v>
      </c>
      <c r="E1515" s="3">
        <f t="shared" si="47"/>
        <v>5.1843750000000002</v>
      </c>
      <c r="F1515" s="1">
        <v>45378</v>
      </c>
      <c r="G1515" s="2">
        <v>648046.9</v>
      </c>
      <c r="H1515" s="1">
        <v>1862208</v>
      </c>
      <c r="M1515" t="s">
        <v>1566</v>
      </c>
      <c r="N1515" t="s">
        <v>1608</v>
      </c>
    </row>
    <row r="1516" spans="1:14" x14ac:dyDescent="0.25">
      <c r="A1516" t="s">
        <v>1567</v>
      </c>
      <c r="B1516" t="str">
        <f t="shared" si="46"/>
        <v>p__Pseudomonadota</v>
      </c>
      <c r="C1516" s="1">
        <v>89</v>
      </c>
      <c r="D1516" s="3">
        <v>4497921</v>
      </c>
      <c r="E1516" s="3">
        <f t="shared" si="47"/>
        <v>4.4979209999999998</v>
      </c>
      <c r="F1516" s="1">
        <v>2121</v>
      </c>
      <c r="G1516" s="2">
        <v>50538.400000000001</v>
      </c>
      <c r="H1516" s="1">
        <v>308310</v>
      </c>
      <c r="M1516" t="s">
        <v>1567</v>
      </c>
      <c r="N1516" t="s">
        <v>1608</v>
      </c>
    </row>
    <row r="1517" spans="1:14" x14ac:dyDescent="0.25">
      <c r="A1517" t="s">
        <v>1568</v>
      </c>
      <c r="B1517" t="str">
        <f t="shared" si="46"/>
        <v>p__Pseudomonadota</v>
      </c>
      <c r="C1517" s="1">
        <v>127</v>
      </c>
      <c r="D1517" s="3">
        <v>3390635</v>
      </c>
      <c r="E1517" s="3">
        <f t="shared" si="47"/>
        <v>3.3906350000000001</v>
      </c>
      <c r="F1517" s="2">
        <v>2001</v>
      </c>
      <c r="G1517" s="1">
        <v>26697.9</v>
      </c>
      <c r="H1517" s="1">
        <v>207806</v>
      </c>
      <c r="M1517" t="s">
        <v>1568</v>
      </c>
      <c r="N1517" t="s">
        <v>1608</v>
      </c>
    </row>
    <row r="1518" spans="1:14" x14ac:dyDescent="0.25">
      <c r="A1518" t="s">
        <v>653</v>
      </c>
      <c r="B1518" t="str">
        <f t="shared" si="46"/>
        <v>p__Riflebacteria</v>
      </c>
      <c r="C1518" s="1">
        <v>17</v>
      </c>
      <c r="D1518" s="3">
        <v>3688543</v>
      </c>
      <c r="E1518" s="3">
        <f t="shared" si="47"/>
        <v>3.6885430000000001</v>
      </c>
      <c r="F1518" s="1">
        <v>2008</v>
      </c>
      <c r="G1518" s="2">
        <v>216973.1</v>
      </c>
      <c r="H1518" s="1">
        <v>636132</v>
      </c>
      <c r="M1518" t="s">
        <v>653</v>
      </c>
      <c r="N1518" t="s">
        <v>1609</v>
      </c>
    </row>
    <row r="1519" spans="1:14" x14ac:dyDescent="0.25">
      <c r="A1519" t="s">
        <v>1074</v>
      </c>
      <c r="B1519" t="str">
        <f t="shared" si="46"/>
        <v>p__Riflebacteria</v>
      </c>
      <c r="C1519" s="1">
        <v>29</v>
      </c>
      <c r="D1519" s="3">
        <v>3657647</v>
      </c>
      <c r="E1519" s="3">
        <f t="shared" si="47"/>
        <v>3.6576469999999999</v>
      </c>
      <c r="F1519" s="1">
        <v>2378</v>
      </c>
      <c r="G1519" s="2">
        <v>126125.8</v>
      </c>
      <c r="H1519" s="1">
        <v>885287</v>
      </c>
      <c r="M1519" t="s">
        <v>1074</v>
      </c>
      <c r="N1519" t="s">
        <v>1609</v>
      </c>
    </row>
    <row r="1520" spans="1:14" x14ac:dyDescent="0.25">
      <c r="A1520" t="s">
        <v>654</v>
      </c>
      <c r="B1520" t="str">
        <f t="shared" si="46"/>
        <v>p__Spirochaetota</v>
      </c>
      <c r="C1520" s="1">
        <v>124</v>
      </c>
      <c r="D1520" s="3">
        <v>2088825</v>
      </c>
      <c r="E1520" s="3">
        <f t="shared" si="47"/>
        <v>2.0888249999999999</v>
      </c>
      <c r="F1520" s="2">
        <v>2004</v>
      </c>
      <c r="G1520" s="1">
        <v>16845.400000000001</v>
      </c>
      <c r="H1520" s="1">
        <v>113730</v>
      </c>
      <c r="M1520" t="s">
        <v>654</v>
      </c>
      <c r="N1520" t="s">
        <v>1610</v>
      </c>
    </row>
    <row r="1521" spans="1:14" x14ac:dyDescent="0.25">
      <c r="A1521" t="s">
        <v>655</v>
      </c>
      <c r="B1521" t="str">
        <f t="shared" si="46"/>
        <v>p__Spirochaetota</v>
      </c>
      <c r="C1521" s="1">
        <v>164</v>
      </c>
      <c r="D1521" s="3">
        <v>2360593</v>
      </c>
      <c r="E1521" s="3">
        <f t="shared" si="47"/>
        <v>2.3605930000000002</v>
      </c>
      <c r="F1521" s="2">
        <v>2017</v>
      </c>
      <c r="G1521" s="1">
        <v>14393.9</v>
      </c>
      <c r="H1521" s="1">
        <v>138719</v>
      </c>
      <c r="M1521" t="s">
        <v>655</v>
      </c>
      <c r="N1521" t="s">
        <v>1610</v>
      </c>
    </row>
    <row r="1522" spans="1:14" x14ac:dyDescent="0.25">
      <c r="A1522" t="s">
        <v>656</v>
      </c>
      <c r="B1522" t="str">
        <f t="shared" si="46"/>
        <v>p__Spirochaetota</v>
      </c>
      <c r="C1522" s="1">
        <v>14</v>
      </c>
      <c r="D1522" s="3">
        <v>1478151</v>
      </c>
      <c r="E1522" s="3">
        <f t="shared" si="47"/>
        <v>1.478151</v>
      </c>
      <c r="F1522" s="1">
        <v>2060</v>
      </c>
      <c r="G1522" s="2">
        <v>105582.2</v>
      </c>
      <c r="H1522" s="1">
        <v>453019</v>
      </c>
      <c r="M1522" t="s">
        <v>656</v>
      </c>
      <c r="N1522" t="s">
        <v>1610</v>
      </c>
    </row>
    <row r="1523" spans="1:14" x14ac:dyDescent="0.25">
      <c r="A1523" t="s">
        <v>657</v>
      </c>
      <c r="B1523" t="str">
        <f t="shared" si="46"/>
        <v>p__Spirochaetota</v>
      </c>
      <c r="C1523" s="1">
        <v>5</v>
      </c>
      <c r="D1523" s="3">
        <v>2033478</v>
      </c>
      <c r="E1523" s="3">
        <f t="shared" si="47"/>
        <v>2.0334780000000001</v>
      </c>
      <c r="F1523" s="1">
        <v>2114</v>
      </c>
      <c r="G1523" s="2">
        <v>406695.6</v>
      </c>
      <c r="H1523" s="1">
        <v>1110808</v>
      </c>
      <c r="M1523" t="s">
        <v>657</v>
      </c>
      <c r="N1523" t="s">
        <v>1610</v>
      </c>
    </row>
    <row r="1524" spans="1:14" x14ac:dyDescent="0.25">
      <c r="A1524" t="s">
        <v>658</v>
      </c>
      <c r="B1524" t="str">
        <f t="shared" si="46"/>
        <v>p__Spirochaetota</v>
      </c>
      <c r="C1524" s="1">
        <v>319</v>
      </c>
      <c r="D1524" s="3">
        <v>3108713</v>
      </c>
      <c r="E1524" s="3">
        <f t="shared" si="47"/>
        <v>3.1087129999999998</v>
      </c>
      <c r="F1524" s="2">
        <v>2024</v>
      </c>
      <c r="G1524" s="1">
        <v>9745.2000000000007</v>
      </c>
      <c r="H1524" s="1">
        <v>52987</v>
      </c>
      <c r="M1524" t="s">
        <v>658</v>
      </c>
      <c r="N1524" t="s">
        <v>1610</v>
      </c>
    </row>
    <row r="1525" spans="1:14" x14ac:dyDescent="0.25">
      <c r="A1525" t="s">
        <v>659</v>
      </c>
      <c r="B1525" t="str">
        <f t="shared" si="46"/>
        <v>p__Spirochaetota</v>
      </c>
      <c r="C1525" s="1">
        <v>3</v>
      </c>
      <c r="D1525" s="3">
        <v>3674125</v>
      </c>
      <c r="E1525" s="3">
        <f t="shared" si="47"/>
        <v>3.6741250000000001</v>
      </c>
      <c r="F1525" s="1">
        <v>254438</v>
      </c>
      <c r="G1525" s="2">
        <v>1224708.3</v>
      </c>
      <c r="H1525" s="1">
        <v>2623157</v>
      </c>
      <c r="M1525" t="s">
        <v>659</v>
      </c>
      <c r="N1525" t="s">
        <v>1610</v>
      </c>
    </row>
    <row r="1526" spans="1:14" x14ac:dyDescent="0.25">
      <c r="A1526" t="s">
        <v>660</v>
      </c>
      <c r="B1526" t="str">
        <f t="shared" si="46"/>
        <v>p__Spirochaetota</v>
      </c>
      <c r="C1526" s="1">
        <v>37</v>
      </c>
      <c r="D1526" s="3">
        <v>3129065</v>
      </c>
      <c r="E1526" s="3">
        <f t="shared" si="47"/>
        <v>3.1290650000000002</v>
      </c>
      <c r="F1526" s="1">
        <v>2052</v>
      </c>
      <c r="G1526" s="2">
        <v>84569.3</v>
      </c>
      <c r="H1526" s="1">
        <v>450833</v>
      </c>
      <c r="M1526" t="s">
        <v>660</v>
      </c>
      <c r="N1526" t="s">
        <v>1610</v>
      </c>
    </row>
    <row r="1527" spans="1:14" x14ac:dyDescent="0.25">
      <c r="A1527" t="s">
        <v>661</v>
      </c>
      <c r="B1527" t="str">
        <f t="shared" si="46"/>
        <v>p__Spirochaetota</v>
      </c>
      <c r="C1527" s="1">
        <v>9</v>
      </c>
      <c r="D1527" s="3">
        <v>2980576</v>
      </c>
      <c r="E1527" s="3">
        <f t="shared" si="47"/>
        <v>2.9805760000000001</v>
      </c>
      <c r="F1527" s="1">
        <v>32619</v>
      </c>
      <c r="G1527" s="2">
        <v>331175.09999999998</v>
      </c>
      <c r="H1527" s="1">
        <v>721183</v>
      </c>
      <c r="M1527" t="s">
        <v>661</v>
      </c>
      <c r="N1527" t="s">
        <v>1610</v>
      </c>
    </row>
    <row r="1528" spans="1:14" x14ac:dyDescent="0.25">
      <c r="A1528" t="s">
        <v>662</v>
      </c>
      <c r="B1528" t="str">
        <f t="shared" si="46"/>
        <v>p__Spirochaetota</v>
      </c>
      <c r="C1528" s="1">
        <v>46</v>
      </c>
      <c r="D1528" s="3">
        <v>2956417</v>
      </c>
      <c r="E1528" s="3">
        <f t="shared" si="47"/>
        <v>2.9564170000000001</v>
      </c>
      <c r="F1528" s="1">
        <v>3493</v>
      </c>
      <c r="G1528" s="2">
        <v>64269.9</v>
      </c>
      <c r="H1528" s="1">
        <v>503323</v>
      </c>
      <c r="M1528" t="s">
        <v>662</v>
      </c>
      <c r="N1528" t="s">
        <v>1610</v>
      </c>
    </row>
    <row r="1529" spans="1:14" x14ac:dyDescent="0.25">
      <c r="A1529" t="s">
        <v>663</v>
      </c>
      <c r="B1529" t="str">
        <f t="shared" si="46"/>
        <v>p__Spirochaetota</v>
      </c>
      <c r="C1529" s="1">
        <v>127</v>
      </c>
      <c r="D1529" s="3">
        <v>1612608</v>
      </c>
      <c r="E1529" s="3">
        <f t="shared" si="47"/>
        <v>1.612608</v>
      </c>
      <c r="F1529" s="2">
        <v>2017</v>
      </c>
      <c r="G1529" s="1">
        <v>12697.7</v>
      </c>
      <c r="H1529" s="1">
        <v>111095</v>
      </c>
      <c r="M1529" t="s">
        <v>663</v>
      </c>
      <c r="N1529" t="s">
        <v>1610</v>
      </c>
    </row>
    <row r="1530" spans="1:14" x14ac:dyDescent="0.25">
      <c r="A1530" t="s">
        <v>1075</v>
      </c>
      <c r="B1530" t="str">
        <f t="shared" si="46"/>
        <v>p__Spirochaetota</v>
      </c>
      <c r="C1530" s="1">
        <v>11</v>
      </c>
      <c r="D1530" s="3">
        <v>1452179</v>
      </c>
      <c r="E1530" s="3">
        <f t="shared" si="47"/>
        <v>1.4521790000000001</v>
      </c>
      <c r="F1530" s="1">
        <v>2580</v>
      </c>
      <c r="G1530" s="2">
        <v>132016.29999999999</v>
      </c>
      <c r="H1530" s="1">
        <v>1063505</v>
      </c>
      <c r="M1530" t="s">
        <v>1075</v>
      </c>
      <c r="N1530" t="s">
        <v>1610</v>
      </c>
    </row>
    <row r="1531" spans="1:14" x14ac:dyDescent="0.25">
      <c r="A1531" t="s">
        <v>1076</v>
      </c>
      <c r="B1531" t="str">
        <f t="shared" si="46"/>
        <v>p__Spirochaetota</v>
      </c>
      <c r="C1531" s="1">
        <v>72</v>
      </c>
      <c r="D1531" s="3">
        <v>2447050</v>
      </c>
      <c r="E1531" s="3">
        <f t="shared" si="47"/>
        <v>2.4470499999999999</v>
      </c>
      <c r="F1531" s="1">
        <v>2024</v>
      </c>
      <c r="G1531" s="2">
        <v>33986.800000000003</v>
      </c>
      <c r="H1531" s="1">
        <v>294081</v>
      </c>
      <c r="M1531" t="s">
        <v>1076</v>
      </c>
      <c r="N1531" t="s">
        <v>1610</v>
      </c>
    </row>
    <row r="1532" spans="1:14" x14ac:dyDescent="0.25">
      <c r="A1532" t="s">
        <v>1077</v>
      </c>
      <c r="B1532" t="str">
        <f t="shared" si="46"/>
        <v>p__Spirochaetota</v>
      </c>
      <c r="C1532" s="1">
        <v>141</v>
      </c>
      <c r="D1532" s="3">
        <v>1501021</v>
      </c>
      <c r="E1532" s="3">
        <f t="shared" si="47"/>
        <v>1.5010209999999999</v>
      </c>
      <c r="F1532" s="2">
        <v>2104</v>
      </c>
      <c r="G1532" s="1">
        <v>10645.5</v>
      </c>
      <c r="H1532" s="1">
        <v>61271</v>
      </c>
      <c r="M1532" t="s">
        <v>1077</v>
      </c>
      <c r="N1532" t="s">
        <v>1610</v>
      </c>
    </row>
    <row r="1533" spans="1:14" x14ac:dyDescent="0.25">
      <c r="A1533" t="s">
        <v>1078</v>
      </c>
      <c r="B1533" t="str">
        <f t="shared" si="46"/>
        <v>p__Spirochaetota</v>
      </c>
      <c r="C1533" s="1">
        <v>700</v>
      </c>
      <c r="D1533" s="3">
        <v>3304250</v>
      </c>
      <c r="E1533" s="3">
        <f t="shared" si="47"/>
        <v>3.3042500000000001</v>
      </c>
      <c r="F1533" s="2">
        <v>2016</v>
      </c>
      <c r="G1533" s="1">
        <v>4720.3999999999996</v>
      </c>
      <c r="H1533" s="1">
        <v>47701</v>
      </c>
      <c r="M1533" t="s">
        <v>1078</v>
      </c>
      <c r="N1533" t="s">
        <v>1610</v>
      </c>
    </row>
    <row r="1534" spans="1:14" x14ac:dyDescent="0.25">
      <c r="A1534" t="s">
        <v>1079</v>
      </c>
      <c r="B1534" t="str">
        <f t="shared" si="46"/>
        <v>p__Spirochaetota</v>
      </c>
      <c r="C1534" s="1">
        <v>342</v>
      </c>
      <c r="D1534" s="3">
        <v>1945405</v>
      </c>
      <c r="E1534" s="3">
        <f t="shared" si="47"/>
        <v>1.9454050000000001</v>
      </c>
      <c r="F1534" s="2">
        <v>2002</v>
      </c>
      <c r="G1534" s="1">
        <v>5688.3</v>
      </c>
      <c r="H1534" s="1">
        <v>31451</v>
      </c>
      <c r="M1534" t="s">
        <v>1079</v>
      </c>
      <c r="N1534" t="s">
        <v>1610</v>
      </c>
    </row>
    <row r="1535" spans="1:14" x14ac:dyDescent="0.25">
      <c r="A1535" t="s">
        <v>1080</v>
      </c>
      <c r="B1535" t="str">
        <f t="shared" si="46"/>
        <v>p__Spirochaetota</v>
      </c>
      <c r="C1535" s="1">
        <v>217</v>
      </c>
      <c r="D1535" s="3">
        <v>1538696</v>
      </c>
      <c r="E1535" s="3">
        <f t="shared" si="47"/>
        <v>1.5386960000000001</v>
      </c>
      <c r="F1535" s="2">
        <v>2501</v>
      </c>
      <c r="G1535" s="1">
        <v>7090.8</v>
      </c>
      <c r="H1535" s="1">
        <v>80955</v>
      </c>
      <c r="M1535" t="s">
        <v>1080</v>
      </c>
      <c r="N1535" t="s">
        <v>1610</v>
      </c>
    </row>
    <row r="1536" spans="1:14" x14ac:dyDescent="0.25">
      <c r="A1536" t="s">
        <v>1081</v>
      </c>
      <c r="B1536" t="str">
        <f t="shared" si="46"/>
        <v>p__Spirochaetota</v>
      </c>
      <c r="C1536" s="1">
        <v>265</v>
      </c>
      <c r="D1536" s="3">
        <v>1117037</v>
      </c>
      <c r="E1536" s="3">
        <f t="shared" si="47"/>
        <v>1.1170370000000001</v>
      </c>
      <c r="F1536" s="2">
        <v>2007</v>
      </c>
      <c r="G1536" s="1">
        <v>4215.2</v>
      </c>
      <c r="H1536" s="1">
        <v>36154</v>
      </c>
      <c r="M1536" t="s">
        <v>1081</v>
      </c>
      <c r="N1536" t="s">
        <v>1610</v>
      </c>
    </row>
    <row r="1537" spans="1:14" x14ac:dyDescent="0.25">
      <c r="A1537" t="s">
        <v>1082</v>
      </c>
      <c r="B1537" t="str">
        <f t="shared" si="46"/>
        <v>p__Spirochaetota</v>
      </c>
      <c r="C1537" s="1">
        <v>161</v>
      </c>
      <c r="D1537" s="3">
        <v>2181542</v>
      </c>
      <c r="E1537" s="3">
        <f t="shared" si="47"/>
        <v>2.1815419999999999</v>
      </c>
      <c r="F1537" s="1">
        <v>2018</v>
      </c>
      <c r="G1537" s="1">
        <v>13550</v>
      </c>
      <c r="H1537" s="1">
        <v>79093</v>
      </c>
      <c r="M1537" t="s">
        <v>1082</v>
      </c>
      <c r="N1537" t="s">
        <v>1610</v>
      </c>
    </row>
    <row r="1538" spans="1:14" x14ac:dyDescent="0.25">
      <c r="A1538" t="s">
        <v>1569</v>
      </c>
      <c r="B1538" t="str">
        <f t="shared" ref="B1538:B1601" si="48">VLOOKUP(A1538,M:N,2,FALSE)</f>
        <v>p__Spirochaetota</v>
      </c>
      <c r="C1538" s="1">
        <v>101</v>
      </c>
      <c r="D1538" s="3">
        <v>2247189</v>
      </c>
      <c r="E1538" s="3">
        <f t="shared" ref="E1538:E1601" si="49">D1538/1000000</f>
        <v>2.2471890000000001</v>
      </c>
      <c r="F1538" s="2">
        <v>2078</v>
      </c>
      <c r="G1538" s="1">
        <v>22249.4</v>
      </c>
      <c r="H1538" s="1">
        <v>187118</v>
      </c>
      <c r="M1538" t="s">
        <v>1569</v>
      </c>
      <c r="N1538" t="s">
        <v>1610</v>
      </c>
    </row>
    <row r="1539" spans="1:14" x14ac:dyDescent="0.25">
      <c r="A1539" t="s">
        <v>1570</v>
      </c>
      <c r="B1539" t="str">
        <f t="shared" si="48"/>
        <v>p__Spirochaetota</v>
      </c>
      <c r="C1539" s="1">
        <v>59</v>
      </c>
      <c r="D1539" s="3">
        <v>1831682</v>
      </c>
      <c r="E1539" s="3">
        <f t="shared" si="49"/>
        <v>1.831682</v>
      </c>
      <c r="F1539" s="1">
        <v>2031</v>
      </c>
      <c r="G1539" s="2">
        <v>31045.5</v>
      </c>
      <c r="H1539" s="1">
        <v>204138</v>
      </c>
      <c r="M1539" t="s">
        <v>1570</v>
      </c>
      <c r="N1539" t="s">
        <v>1610</v>
      </c>
    </row>
    <row r="1540" spans="1:14" x14ac:dyDescent="0.25">
      <c r="A1540" t="s">
        <v>1571</v>
      </c>
      <c r="B1540" t="str">
        <f t="shared" si="48"/>
        <v>p__Spirochaetota</v>
      </c>
      <c r="C1540" s="1">
        <v>68</v>
      </c>
      <c r="D1540" s="3">
        <v>2892071</v>
      </c>
      <c r="E1540" s="3">
        <f t="shared" si="49"/>
        <v>2.8920710000000001</v>
      </c>
      <c r="F1540" s="1">
        <v>2038</v>
      </c>
      <c r="G1540" s="2">
        <v>42530.5</v>
      </c>
      <c r="H1540" s="1">
        <v>183331</v>
      </c>
      <c r="M1540" t="s">
        <v>1571</v>
      </c>
      <c r="N1540" t="s">
        <v>1610</v>
      </c>
    </row>
    <row r="1541" spans="1:14" x14ac:dyDescent="0.25">
      <c r="A1541" t="s">
        <v>1572</v>
      </c>
      <c r="B1541" t="str">
        <f t="shared" si="48"/>
        <v>p__Spirochaetota</v>
      </c>
      <c r="C1541" s="1">
        <v>57</v>
      </c>
      <c r="D1541" s="3">
        <v>2162102</v>
      </c>
      <c r="E1541" s="3">
        <f t="shared" si="49"/>
        <v>2.162102</v>
      </c>
      <c r="F1541" s="1">
        <v>4340</v>
      </c>
      <c r="G1541" s="2">
        <v>37931.599999999999</v>
      </c>
      <c r="H1541" s="1">
        <v>106905</v>
      </c>
      <c r="M1541" t="s">
        <v>1572</v>
      </c>
      <c r="N1541" t="s">
        <v>1610</v>
      </c>
    </row>
    <row r="1542" spans="1:14" x14ac:dyDescent="0.25">
      <c r="A1542" t="s">
        <v>220</v>
      </c>
      <c r="B1542" t="str">
        <f t="shared" si="48"/>
        <v>p__Synergistota</v>
      </c>
      <c r="C1542" s="1">
        <v>763</v>
      </c>
      <c r="D1542" s="3">
        <v>2997396</v>
      </c>
      <c r="E1542" s="3">
        <f t="shared" si="49"/>
        <v>2.9973960000000002</v>
      </c>
      <c r="F1542" s="2">
        <v>2003</v>
      </c>
      <c r="G1542" s="1">
        <v>3928.4</v>
      </c>
      <c r="H1542" s="1">
        <v>50423</v>
      </c>
      <c r="M1542" t="s">
        <v>220</v>
      </c>
      <c r="N1542" t="s">
        <v>1611</v>
      </c>
    </row>
    <row r="1543" spans="1:14" x14ac:dyDescent="0.25">
      <c r="A1543" t="s">
        <v>221</v>
      </c>
      <c r="B1543" t="str">
        <f t="shared" si="48"/>
        <v>p__Synergistota</v>
      </c>
      <c r="C1543" s="1">
        <v>447</v>
      </c>
      <c r="D1543" s="3">
        <v>2409404</v>
      </c>
      <c r="E1543" s="3">
        <f t="shared" si="49"/>
        <v>2.4094039999999999</v>
      </c>
      <c r="F1543" s="2">
        <v>2000</v>
      </c>
      <c r="G1543" s="1">
        <v>5390.2</v>
      </c>
      <c r="H1543" s="1">
        <v>80979</v>
      </c>
      <c r="M1543" t="s">
        <v>221</v>
      </c>
      <c r="N1543" t="s">
        <v>1611</v>
      </c>
    </row>
    <row r="1544" spans="1:14" x14ac:dyDescent="0.25">
      <c r="A1544" t="s">
        <v>664</v>
      </c>
      <c r="B1544" t="str">
        <f t="shared" si="48"/>
        <v>p__Synergistota</v>
      </c>
      <c r="C1544" s="1">
        <v>129</v>
      </c>
      <c r="D1544" s="3">
        <v>2074126</v>
      </c>
      <c r="E1544" s="3">
        <f t="shared" si="49"/>
        <v>2.0741260000000001</v>
      </c>
      <c r="F1544" s="2">
        <v>2028</v>
      </c>
      <c r="G1544" s="1">
        <v>16078.5</v>
      </c>
      <c r="H1544" s="1">
        <v>150175</v>
      </c>
      <c r="M1544" t="s">
        <v>664</v>
      </c>
      <c r="N1544" t="s">
        <v>1611</v>
      </c>
    </row>
    <row r="1545" spans="1:14" x14ac:dyDescent="0.25">
      <c r="A1545" t="s">
        <v>665</v>
      </c>
      <c r="B1545" t="str">
        <f t="shared" si="48"/>
        <v>p__Synergistota</v>
      </c>
      <c r="C1545" s="1">
        <v>11</v>
      </c>
      <c r="D1545" s="3">
        <v>2286636</v>
      </c>
      <c r="E1545" s="3">
        <f t="shared" si="49"/>
        <v>2.2866360000000001</v>
      </c>
      <c r="F1545" s="1">
        <v>6995</v>
      </c>
      <c r="G1545" s="1">
        <v>207876</v>
      </c>
      <c r="H1545" s="1">
        <v>712390</v>
      </c>
      <c r="M1545" t="s">
        <v>665</v>
      </c>
      <c r="N1545" t="s">
        <v>1611</v>
      </c>
    </row>
    <row r="1546" spans="1:14" x14ac:dyDescent="0.25">
      <c r="A1546" t="s">
        <v>1083</v>
      </c>
      <c r="B1546" t="str">
        <f t="shared" si="48"/>
        <v>p__Synergistota</v>
      </c>
      <c r="C1546" s="1">
        <v>74</v>
      </c>
      <c r="D1546" s="3">
        <v>1782031</v>
      </c>
      <c r="E1546" s="3">
        <f t="shared" si="49"/>
        <v>1.7820309999999999</v>
      </c>
      <c r="F1546" s="1">
        <v>2013</v>
      </c>
      <c r="G1546" s="2">
        <v>24081.5</v>
      </c>
      <c r="H1546" s="1">
        <v>281015</v>
      </c>
      <c r="M1546" t="s">
        <v>1083</v>
      </c>
      <c r="N1546" t="s">
        <v>1611</v>
      </c>
    </row>
    <row r="1547" spans="1:14" x14ac:dyDescent="0.25">
      <c r="A1547" t="s">
        <v>1573</v>
      </c>
      <c r="B1547" t="str">
        <f t="shared" si="48"/>
        <v>p__Synergistota</v>
      </c>
      <c r="C1547" s="1">
        <v>46</v>
      </c>
      <c r="D1547" s="3">
        <v>2616702</v>
      </c>
      <c r="E1547" s="3">
        <f t="shared" si="49"/>
        <v>2.6167020000000001</v>
      </c>
      <c r="F1547" s="1">
        <v>2435</v>
      </c>
      <c r="G1547" s="2">
        <v>56884.800000000003</v>
      </c>
      <c r="H1547" s="1">
        <v>489147</v>
      </c>
      <c r="M1547" t="s">
        <v>1573</v>
      </c>
      <c r="N1547" t="s">
        <v>1611</v>
      </c>
    </row>
    <row r="1548" spans="1:14" x14ac:dyDescent="0.25">
      <c r="A1548" t="s">
        <v>1574</v>
      </c>
      <c r="B1548" t="str">
        <f t="shared" si="48"/>
        <v>p__Synergistota</v>
      </c>
      <c r="C1548" s="1">
        <v>125</v>
      </c>
      <c r="D1548" s="3">
        <v>2585441</v>
      </c>
      <c r="E1548" s="3">
        <f t="shared" si="49"/>
        <v>2.5854409999999999</v>
      </c>
      <c r="F1548" s="2">
        <v>2019</v>
      </c>
      <c r="G1548" s="1">
        <v>20683.5</v>
      </c>
      <c r="H1548" s="1">
        <v>278609</v>
      </c>
      <c r="M1548" t="s">
        <v>1574</v>
      </c>
      <c r="N1548" t="s">
        <v>1611</v>
      </c>
    </row>
    <row r="1549" spans="1:14" x14ac:dyDescent="0.25">
      <c r="A1549" t="s">
        <v>1575</v>
      </c>
      <c r="B1549" t="str">
        <f t="shared" si="48"/>
        <v>p__Synergistota</v>
      </c>
      <c r="C1549" s="1">
        <v>34</v>
      </c>
      <c r="D1549" s="3">
        <v>2969054</v>
      </c>
      <c r="E1549" s="3">
        <f t="shared" si="49"/>
        <v>2.9690539999999999</v>
      </c>
      <c r="F1549" s="1">
        <v>2010</v>
      </c>
      <c r="G1549" s="2">
        <v>87325.1</v>
      </c>
      <c r="H1549" s="1">
        <v>423649</v>
      </c>
      <c r="M1549" t="s">
        <v>1575</v>
      </c>
      <c r="N1549" t="s">
        <v>1611</v>
      </c>
    </row>
    <row r="1550" spans="1:14" x14ac:dyDescent="0.25">
      <c r="A1550" t="s">
        <v>1576</v>
      </c>
      <c r="B1550" t="str">
        <f t="shared" si="48"/>
        <v>p__Synergistota</v>
      </c>
      <c r="C1550" s="1">
        <v>52</v>
      </c>
      <c r="D1550" s="3">
        <v>2886483</v>
      </c>
      <c r="E1550" s="3">
        <f t="shared" si="49"/>
        <v>2.8864830000000001</v>
      </c>
      <c r="F1550" s="1">
        <v>2023</v>
      </c>
      <c r="G1550" s="2">
        <v>55509.3</v>
      </c>
      <c r="H1550" s="1">
        <v>1892305</v>
      </c>
      <c r="M1550" t="s">
        <v>1576</v>
      </c>
      <c r="N1550" t="s">
        <v>1611</v>
      </c>
    </row>
    <row r="1551" spans="1:14" x14ac:dyDescent="0.25">
      <c r="A1551" t="s">
        <v>222</v>
      </c>
      <c r="B1551" t="str">
        <f t="shared" si="48"/>
        <v>p__Verrucomicrobiota</v>
      </c>
      <c r="C1551" s="1">
        <v>5</v>
      </c>
      <c r="D1551" s="3">
        <v>6254653</v>
      </c>
      <c r="E1551" s="3">
        <f t="shared" si="49"/>
        <v>6.2546530000000002</v>
      </c>
      <c r="F1551" s="1">
        <v>2214</v>
      </c>
      <c r="G1551" s="2">
        <v>1250930.6000000001</v>
      </c>
      <c r="H1551" s="1">
        <v>2978811</v>
      </c>
      <c r="M1551" t="s">
        <v>222</v>
      </c>
      <c r="N1551" t="s">
        <v>1612</v>
      </c>
    </row>
    <row r="1552" spans="1:14" x14ac:dyDescent="0.25">
      <c r="A1552" t="s">
        <v>223</v>
      </c>
      <c r="B1552" t="str">
        <f t="shared" si="48"/>
        <v>p__Verrucomicrobiota</v>
      </c>
      <c r="C1552" s="1">
        <v>1</v>
      </c>
      <c r="D1552" s="3">
        <v>3335651</v>
      </c>
      <c r="E1552" s="3">
        <f t="shared" si="49"/>
        <v>3.3356509999999999</v>
      </c>
      <c r="F1552" s="1">
        <v>3335651</v>
      </c>
      <c r="G1552" s="1">
        <v>3335651</v>
      </c>
      <c r="H1552" s="1">
        <v>3335651</v>
      </c>
      <c r="M1552" t="s">
        <v>223</v>
      </c>
      <c r="N1552" t="s">
        <v>1612</v>
      </c>
    </row>
    <row r="1553" spans="1:14" x14ac:dyDescent="0.25">
      <c r="A1553" t="s">
        <v>224</v>
      </c>
      <c r="B1553" t="str">
        <f t="shared" si="48"/>
        <v>p__Verrucomicrobiota</v>
      </c>
      <c r="C1553" s="1">
        <v>320</v>
      </c>
      <c r="D1553" s="3">
        <v>2779660</v>
      </c>
      <c r="E1553" s="3">
        <f t="shared" si="49"/>
        <v>2.7796599999999998</v>
      </c>
      <c r="F1553" s="2">
        <v>2003</v>
      </c>
      <c r="G1553" s="1">
        <v>8686.4</v>
      </c>
      <c r="H1553" s="1">
        <v>49973</v>
      </c>
      <c r="M1553" t="s">
        <v>224</v>
      </c>
      <c r="N1553" t="s">
        <v>1612</v>
      </c>
    </row>
    <row r="1554" spans="1:14" x14ac:dyDescent="0.25">
      <c r="A1554" t="s">
        <v>666</v>
      </c>
      <c r="B1554" t="str">
        <f t="shared" si="48"/>
        <v>p__Verrucomicrobiota</v>
      </c>
      <c r="C1554" s="1">
        <v>6</v>
      </c>
      <c r="D1554" s="3">
        <v>2719743</v>
      </c>
      <c r="E1554" s="3">
        <f t="shared" si="49"/>
        <v>2.7197429999999998</v>
      </c>
      <c r="F1554" s="1">
        <v>172983</v>
      </c>
      <c r="G1554" s="2">
        <v>453290.5</v>
      </c>
      <c r="H1554" s="1">
        <v>884889</v>
      </c>
      <c r="M1554" t="s">
        <v>666</v>
      </c>
      <c r="N1554" t="s">
        <v>1612</v>
      </c>
    </row>
    <row r="1555" spans="1:14" x14ac:dyDescent="0.25">
      <c r="A1555" t="s">
        <v>667</v>
      </c>
      <c r="B1555" t="str">
        <f t="shared" si="48"/>
        <v>p__Verrucomicrobiota</v>
      </c>
      <c r="C1555" s="1">
        <v>398</v>
      </c>
      <c r="D1555" s="3">
        <v>3249009</v>
      </c>
      <c r="E1555" s="3">
        <f t="shared" si="49"/>
        <v>3.249009</v>
      </c>
      <c r="F1555" s="2">
        <v>2000</v>
      </c>
      <c r="G1555" s="1">
        <v>8163.3</v>
      </c>
      <c r="H1555" s="1">
        <v>105733</v>
      </c>
      <c r="M1555" t="s">
        <v>667</v>
      </c>
      <c r="N1555" t="s">
        <v>1612</v>
      </c>
    </row>
    <row r="1556" spans="1:14" x14ac:dyDescent="0.25">
      <c r="A1556" t="s">
        <v>668</v>
      </c>
      <c r="B1556" t="str">
        <f t="shared" si="48"/>
        <v>p__Verrucomicrobiota</v>
      </c>
      <c r="C1556" s="1">
        <v>11</v>
      </c>
      <c r="D1556" s="3">
        <v>2558646</v>
      </c>
      <c r="E1556" s="3">
        <f t="shared" si="49"/>
        <v>2.558646</v>
      </c>
      <c r="F1556" s="1">
        <v>3442</v>
      </c>
      <c r="G1556" s="2">
        <v>232604.2</v>
      </c>
      <c r="H1556" s="1">
        <v>1096463</v>
      </c>
      <c r="M1556" t="s">
        <v>668</v>
      </c>
      <c r="N1556" t="s">
        <v>1612</v>
      </c>
    </row>
    <row r="1557" spans="1:14" x14ac:dyDescent="0.25">
      <c r="A1557" t="s">
        <v>669</v>
      </c>
      <c r="B1557" t="str">
        <f t="shared" si="48"/>
        <v>p__Verrucomicrobiota</v>
      </c>
      <c r="C1557" s="1">
        <v>14</v>
      </c>
      <c r="D1557" s="3">
        <v>2896220</v>
      </c>
      <c r="E1557" s="3">
        <f t="shared" si="49"/>
        <v>2.89622</v>
      </c>
      <c r="F1557" s="1">
        <v>7409</v>
      </c>
      <c r="G1557" s="2">
        <v>206872.9</v>
      </c>
      <c r="H1557" s="1">
        <v>624628</v>
      </c>
      <c r="M1557" t="s">
        <v>669</v>
      </c>
      <c r="N1557" t="s">
        <v>1612</v>
      </c>
    </row>
    <row r="1558" spans="1:14" x14ac:dyDescent="0.25">
      <c r="A1558" t="s">
        <v>670</v>
      </c>
      <c r="B1558" t="str">
        <f t="shared" si="48"/>
        <v>p__Verrucomicrobiota</v>
      </c>
      <c r="C1558" s="1">
        <v>71</v>
      </c>
      <c r="D1558" s="3">
        <v>2632094</v>
      </c>
      <c r="E1558" s="3">
        <f t="shared" si="49"/>
        <v>2.6320939999999999</v>
      </c>
      <c r="F1558" s="1">
        <v>2106</v>
      </c>
      <c r="G1558" s="2">
        <v>37071.699999999997</v>
      </c>
      <c r="H1558" s="1">
        <v>192481</v>
      </c>
      <c r="M1558" t="s">
        <v>670</v>
      </c>
      <c r="N1558" t="s">
        <v>1612</v>
      </c>
    </row>
    <row r="1559" spans="1:14" x14ac:dyDescent="0.25">
      <c r="A1559" t="s">
        <v>671</v>
      </c>
      <c r="B1559" t="str">
        <f t="shared" si="48"/>
        <v>p__Verrucomicrobiota</v>
      </c>
      <c r="C1559" s="1">
        <v>25</v>
      </c>
      <c r="D1559" s="3">
        <v>2599602</v>
      </c>
      <c r="E1559" s="3">
        <f t="shared" si="49"/>
        <v>2.599602</v>
      </c>
      <c r="F1559" s="1">
        <v>4160</v>
      </c>
      <c r="G1559" s="2">
        <v>103984.1</v>
      </c>
      <c r="H1559" s="1">
        <v>238706</v>
      </c>
      <c r="M1559" t="s">
        <v>671</v>
      </c>
      <c r="N1559" t="s">
        <v>1612</v>
      </c>
    </row>
    <row r="1560" spans="1:14" x14ac:dyDescent="0.25">
      <c r="A1560" t="s">
        <v>672</v>
      </c>
      <c r="B1560" t="str">
        <f t="shared" si="48"/>
        <v>p__Verrucomicrobiota</v>
      </c>
      <c r="C1560" s="1">
        <v>18</v>
      </c>
      <c r="D1560" s="3">
        <v>874949</v>
      </c>
      <c r="E1560" s="3">
        <f t="shared" si="49"/>
        <v>0.87494899999999998</v>
      </c>
      <c r="F1560" s="1">
        <v>3332</v>
      </c>
      <c r="G1560" s="2">
        <v>48608.3</v>
      </c>
      <c r="H1560" s="1">
        <v>230467</v>
      </c>
      <c r="M1560" t="s">
        <v>672</v>
      </c>
      <c r="N1560" t="s">
        <v>1612</v>
      </c>
    </row>
    <row r="1561" spans="1:14" x14ac:dyDescent="0.25">
      <c r="A1561" t="s">
        <v>673</v>
      </c>
      <c r="B1561" t="str">
        <f t="shared" si="48"/>
        <v>p__Verrucomicrobiota</v>
      </c>
      <c r="C1561" s="1">
        <v>16</v>
      </c>
      <c r="D1561" s="3">
        <v>2242517</v>
      </c>
      <c r="E1561" s="3">
        <f t="shared" si="49"/>
        <v>2.2425169999999999</v>
      </c>
      <c r="F1561" s="1">
        <v>2058</v>
      </c>
      <c r="G1561" s="2">
        <v>140157.29999999999</v>
      </c>
      <c r="H1561" s="1">
        <v>933965</v>
      </c>
      <c r="M1561" t="s">
        <v>673</v>
      </c>
      <c r="N1561" t="s">
        <v>1612</v>
      </c>
    </row>
    <row r="1562" spans="1:14" x14ac:dyDescent="0.25">
      <c r="A1562" t="s">
        <v>674</v>
      </c>
      <c r="B1562" t="str">
        <f t="shared" si="48"/>
        <v>p__Verrucomicrobiota</v>
      </c>
      <c r="C1562" s="1">
        <v>239</v>
      </c>
      <c r="D1562" s="3">
        <v>2911185</v>
      </c>
      <c r="E1562" s="3">
        <f t="shared" si="49"/>
        <v>2.9111850000000001</v>
      </c>
      <c r="F1562" s="2">
        <v>2000</v>
      </c>
      <c r="G1562" s="1">
        <v>12180.7</v>
      </c>
      <c r="H1562" s="1">
        <v>163882</v>
      </c>
      <c r="M1562" t="s">
        <v>674</v>
      </c>
      <c r="N1562" t="s">
        <v>1612</v>
      </c>
    </row>
    <row r="1563" spans="1:14" x14ac:dyDescent="0.25">
      <c r="A1563" t="s">
        <v>675</v>
      </c>
      <c r="B1563" t="str">
        <f t="shared" si="48"/>
        <v>p__Verrucomicrobiota</v>
      </c>
      <c r="C1563" s="1">
        <v>162</v>
      </c>
      <c r="D1563" s="3">
        <v>2463925</v>
      </c>
      <c r="E1563" s="3">
        <f t="shared" si="49"/>
        <v>2.4639250000000001</v>
      </c>
      <c r="F1563" s="2">
        <v>2093</v>
      </c>
      <c r="G1563" s="1">
        <v>15209.4</v>
      </c>
      <c r="H1563" s="1">
        <v>125912</v>
      </c>
      <c r="M1563" t="s">
        <v>675</v>
      </c>
      <c r="N1563" t="s">
        <v>1612</v>
      </c>
    </row>
    <row r="1564" spans="1:14" x14ac:dyDescent="0.25">
      <c r="A1564" t="s">
        <v>1084</v>
      </c>
      <c r="B1564" t="str">
        <f t="shared" si="48"/>
        <v>p__Verrucomicrobiota</v>
      </c>
      <c r="C1564" s="1">
        <v>216</v>
      </c>
      <c r="D1564" s="3">
        <v>2957441</v>
      </c>
      <c r="E1564" s="3">
        <f t="shared" si="49"/>
        <v>2.9574410000000002</v>
      </c>
      <c r="F1564" s="2">
        <v>2007</v>
      </c>
      <c r="G1564" s="1">
        <v>13691.9</v>
      </c>
      <c r="H1564" s="1">
        <v>184342</v>
      </c>
      <c r="M1564" t="s">
        <v>1084</v>
      </c>
      <c r="N1564" t="s">
        <v>1612</v>
      </c>
    </row>
    <row r="1565" spans="1:14" x14ac:dyDescent="0.25">
      <c r="A1565" t="s">
        <v>1085</v>
      </c>
      <c r="B1565" t="str">
        <f t="shared" si="48"/>
        <v>p__Verrucomicrobiota</v>
      </c>
      <c r="C1565" s="1">
        <v>29</v>
      </c>
      <c r="D1565" s="3">
        <v>1790636</v>
      </c>
      <c r="E1565" s="3">
        <f t="shared" si="49"/>
        <v>1.7906359999999999</v>
      </c>
      <c r="F1565" s="1">
        <v>3570</v>
      </c>
      <c r="G1565" s="2">
        <v>61746.1</v>
      </c>
      <c r="H1565" s="1">
        <v>186398</v>
      </c>
      <c r="M1565" t="s">
        <v>1085</v>
      </c>
      <c r="N1565" t="s">
        <v>1612</v>
      </c>
    </row>
    <row r="1566" spans="1:14" x14ac:dyDescent="0.25">
      <c r="A1566" t="s">
        <v>1086</v>
      </c>
      <c r="B1566" t="str">
        <f t="shared" si="48"/>
        <v>p__Verrucomicrobiota</v>
      </c>
      <c r="C1566" s="1">
        <v>31</v>
      </c>
      <c r="D1566" s="3">
        <v>1727866</v>
      </c>
      <c r="E1566" s="3">
        <f t="shared" si="49"/>
        <v>1.7278659999999999</v>
      </c>
      <c r="F1566" s="1">
        <v>6983</v>
      </c>
      <c r="G1566" s="2">
        <v>55737.599999999999</v>
      </c>
      <c r="H1566" s="1">
        <v>202425</v>
      </c>
      <c r="M1566" t="s">
        <v>1086</v>
      </c>
      <c r="N1566" t="s">
        <v>1612</v>
      </c>
    </row>
    <row r="1567" spans="1:14" x14ac:dyDescent="0.25">
      <c r="A1567" t="s">
        <v>1087</v>
      </c>
      <c r="B1567" t="str">
        <f t="shared" si="48"/>
        <v>p__Verrucomicrobiota</v>
      </c>
      <c r="C1567" s="1">
        <v>45</v>
      </c>
      <c r="D1567" s="3">
        <v>2633943</v>
      </c>
      <c r="E1567" s="3">
        <f t="shared" si="49"/>
        <v>2.6339429999999999</v>
      </c>
      <c r="F1567" s="1">
        <v>4297</v>
      </c>
      <c r="G1567" s="2">
        <v>58532.1</v>
      </c>
      <c r="H1567" s="1">
        <v>327596</v>
      </c>
      <c r="M1567" t="s">
        <v>1087</v>
      </c>
      <c r="N1567" t="s">
        <v>1612</v>
      </c>
    </row>
    <row r="1568" spans="1:14" x14ac:dyDescent="0.25">
      <c r="A1568" t="s">
        <v>1088</v>
      </c>
      <c r="B1568" t="str">
        <f t="shared" si="48"/>
        <v>p__Verrucomicrobiota</v>
      </c>
      <c r="C1568" s="1">
        <v>70</v>
      </c>
      <c r="D1568" s="3">
        <v>2407910</v>
      </c>
      <c r="E1568" s="3">
        <f t="shared" si="49"/>
        <v>2.4079100000000002</v>
      </c>
      <c r="F1568" s="1">
        <v>2002</v>
      </c>
      <c r="G1568" s="2">
        <v>34398.699999999997</v>
      </c>
      <c r="H1568" s="1">
        <v>233795</v>
      </c>
      <c r="M1568" t="s">
        <v>1088</v>
      </c>
      <c r="N1568" t="s">
        <v>1612</v>
      </c>
    </row>
    <row r="1569" spans="1:14" x14ac:dyDescent="0.25">
      <c r="A1569" t="s">
        <v>1089</v>
      </c>
      <c r="B1569" t="str">
        <f t="shared" si="48"/>
        <v>p__Verrucomicrobiota</v>
      </c>
      <c r="C1569" s="1">
        <v>192</v>
      </c>
      <c r="D1569" s="3">
        <v>1738844</v>
      </c>
      <c r="E1569" s="3">
        <f t="shared" si="49"/>
        <v>1.7388440000000001</v>
      </c>
      <c r="F1569" s="2">
        <v>2524</v>
      </c>
      <c r="G1569" s="1">
        <v>9056.5</v>
      </c>
      <c r="H1569" s="1">
        <v>138212</v>
      </c>
      <c r="M1569" t="s">
        <v>1089</v>
      </c>
      <c r="N1569" t="s">
        <v>1612</v>
      </c>
    </row>
    <row r="1570" spans="1:14" x14ac:dyDescent="0.25">
      <c r="A1570" t="s">
        <v>1090</v>
      </c>
      <c r="B1570" t="str">
        <f t="shared" si="48"/>
        <v>p__Verrucomicrobiota</v>
      </c>
      <c r="C1570" s="1">
        <v>25</v>
      </c>
      <c r="D1570" s="3">
        <v>2091455</v>
      </c>
      <c r="E1570" s="3">
        <f t="shared" si="49"/>
        <v>2.0914549999999998</v>
      </c>
      <c r="F1570" s="1">
        <v>12210</v>
      </c>
      <c r="G1570" s="2">
        <v>83658.2</v>
      </c>
      <c r="H1570" s="1">
        <v>239202</v>
      </c>
      <c r="M1570" t="s">
        <v>1090</v>
      </c>
      <c r="N1570" t="s">
        <v>1612</v>
      </c>
    </row>
    <row r="1571" spans="1:14" x14ac:dyDescent="0.25">
      <c r="A1571" t="s">
        <v>1091</v>
      </c>
      <c r="B1571" t="str">
        <f t="shared" si="48"/>
        <v>p__Verrucomicrobiota</v>
      </c>
      <c r="C1571" s="1">
        <v>14</v>
      </c>
      <c r="D1571" s="3">
        <v>3285637</v>
      </c>
      <c r="E1571" s="3">
        <f t="shared" si="49"/>
        <v>3.2856369999999999</v>
      </c>
      <c r="F1571" s="1">
        <v>2967</v>
      </c>
      <c r="G1571" s="2">
        <v>234688.4</v>
      </c>
      <c r="H1571" s="1">
        <v>1677513</v>
      </c>
      <c r="M1571" t="s">
        <v>1091</v>
      </c>
      <c r="N1571" t="s">
        <v>1612</v>
      </c>
    </row>
    <row r="1572" spans="1:14" x14ac:dyDescent="0.25">
      <c r="A1572" t="s">
        <v>1577</v>
      </c>
      <c r="B1572" t="str">
        <f t="shared" si="48"/>
        <v>p__Verrucomicrobiota</v>
      </c>
      <c r="C1572" s="1">
        <v>348</v>
      </c>
      <c r="D1572" s="3">
        <v>2835218</v>
      </c>
      <c r="E1572" s="3">
        <f t="shared" si="49"/>
        <v>2.8352179999999998</v>
      </c>
      <c r="F1572" s="2">
        <v>2009</v>
      </c>
      <c r="G1572" s="1">
        <v>8147.2</v>
      </c>
      <c r="H1572" s="1">
        <v>91840</v>
      </c>
      <c r="M1572" t="s">
        <v>1577</v>
      </c>
      <c r="N1572" t="s">
        <v>1612</v>
      </c>
    </row>
    <row r="1573" spans="1:14" x14ac:dyDescent="0.25">
      <c r="A1573" t="s">
        <v>1578</v>
      </c>
      <c r="B1573" t="str">
        <f t="shared" si="48"/>
        <v>p__Verrucomicrobiota</v>
      </c>
      <c r="C1573" s="1">
        <v>8</v>
      </c>
      <c r="D1573" s="3">
        <v>2918599</v>
      </c>
      <c r="E1573" s="3">
        <f t="shared" si="49"/>
        <v>2.9185989999999999</v>
      </c>
      <c r="F1573" s="1">
        <v>15998</v>
      </c>
      <c r="G1573" s="2">
        <v>364824.9</v>
      </c>
      <c r="H1573" s="1">
        <v>708241</v>
      </c>
      <c r="M1573" t="s">
        <v>1578</v>
      </c>
      <c r="N1573" t="s">
        <v>1612</v>
      </c>
    </row>
    <row r="1574" spans="1:14" x14ac:dyDescent="0.25">
      <c r="A1574" t="s">
        <v>1579</v>
      </c>
      <c r="B1574" t="str">
        <f t="shared" si="48"/>
        <v>p__Verrucomicrobiota</v>
      </c>
      <c r="C1574" s="1">
        <v>21</v>
      </c>
      <c r="D1574" s="3">
        <v>1871756</v>
      </c>
      <c r="E1574" s="3">
        <f t="shared" si="49"/>
        <v>1.871756</v>
      </c>
      <c r="F1574" s="1">
        <v>2083</v>
      </c>
      <c r="G1574" s="2">
        <v>89131.199999999997</v>
      </c>
      <c r="H1574" s="1">
        <v>345160</v>
      </c>
      <c r="M1574" t="s">
        <v>1579</v>
      </c>
      <c r="N1574" t="s">
        <v>1612</v>
      </c>
    </row>
    <row r="1575" spans="1:14" x14ac:dyDescent="0.25">
      <c r="A1575" t="s">
        <v>1580</v>
      </c>
      <c r="B1575" t="str">
        <f t="shared" si="48"/>
        <v>p__Verrucomicrobiota</v>
      </c>
      <c r="C1575" s="1">
        <v>34</v>
      </c>
      <c r="D1575" s="3">
        <v>3332361</v>
      </c>
      <c r="E1575" s="3">
        <f t="shared" si="49"/>
        <v>3.3323610000000001</v>
      </c>
      <c r="F1575" s="1">
        <v>29950</v>
      </c>
      <c r="G1575" s="2">
        <v>98010.6</v>
      </c>
      <c r="H1575" s="1">
        <v>307021</v>
      </c>
      <c r="M1575" t="s">
        <v>1580</v>
      </c>
      <c r="N1575" t="s">
        <v>1612</v>
      </c>
    </row>
    <row r="1576" spans="1:14" x14ac:dyDescent="0.25">
      <c r="A1576" t="s">
        <v>1581</v>
      </c>
      <c r="B1576" t="str">
        <f t="shared" si="48"/>
        <v>p__Verrucomicrobiota</v>
      </c>
      <c r="C1576" s="1">
        <v>78</v>
      </c>
      <c r="D1576" s="3">
        <v>4368412</v>
      </c>
      <c r="E1576" s="3">
        <f t="shared" si="49"/>
        <v>4.3684120000000002</v>
      </c>
      <c r="F1576" s="1">
        <v>2047</v>
      </c>
      <c r="G1576" s="2">
        <v>56005.3</v>
      </c>
      <c r="H1576" s="1">
        <v>648572</v>
      </c>
      <c r="M1576" t="s">
        <v>1581</v>
      </c>
      <c r="N1576" t="s">
        <v>1612</v>
      </c>
    </row>
    <row r="1577" spans="1:14" x14ac:dyDescent="0.25">
      <c r="A1577" t="s">
        <v>1582</v>
      </c>
      <c r="B1577" t="str">
        <f t="shared" si="48"/>
        <v>p__Verrucomicrobiota</v>
      </c>
      <c r="C1577" s="1">
        <v>58</v>
      </c>
      <c r="D1577" s="3">
        <v>2882349</v>
      </c>
      <c r="E1577" s="3">
        <f t="shared" si="49"/>
        <v>2.882349</v>
      </c>
      <c r="F1577" s="1">
        <v>2689</v>
      </c>
      <c r="G1577" s="2">
        <v>49695.7</v>
      </c>
      <c r="H1577" s="1">
        <v>612887</v>
      </c>
      <c r="M1577" t="s">
        <v>1582</v>
      </c>
      <c r="N1577" t="s">
        <v>1612</v>
      </c>
    </row>
    <row r="1578" spans="1:14" x14ac:dyDescent="0.25">
      <c r="A1578" t="s">
        <v>1583</v>
      </c>
      <c r="B1578" t="str">
        <f t="shared" si="48"/>
        <v>p__Verrucomicrobiota</v>
      </c>
      <c r="C1578" s="1">
        <v>3</v>
      </c>
      <c r="D1578" s="3">
        <v>3120842</v>
      </c>
      <c r="E1578" s="3">
        <f t="shared" si="49"/>
        <v>3.1208420000000001</v>
      </c>
      <c r="F1578" s="1">
        <v>38984</v>
      </c>
      <c r="G1578" s="2">
        <v>1040280.7</v>
      </c>
      <c r="H1578" s="1">
        <v>3031473</v>
      </c>
      <c r="M1578" t="s">
        <v>1583</v>
      </c>
      <c r="N1578" t="s">
        <v>1612</v>
      </c>
    </row>
    <row r="1579" spans="1:14" x14ac:dyDescent="0.25">
      <c r="A1579" t="s">
        <v>1584</v>
      </c>
      <c r="B1579" t="str">
        <f t="shared" si="48"/>
        <v>p__Verrucomicrobiota</v>
      </c>
      <c r="C1579" s="1">
        <v>42</v>
      </c>
      <c r="D1579" s="3">
        <v>2891030</v>
      </c>
      <c r="E1579" s="3">
        <f t="shared" si="49"/>
        <v>2.8910300000000002</v>
      </c>
      <c r="F1579" s="1">
        <v>2316</v>
      </c>
      <c r="G1579" s="1">
        <v>68834</v>
      </c>
      <c r="H1579" s="1">
        <v>918071</v>
      </c>
      <c r="M1579" t="s">
        <v>1584</v>
      </c>
      <c r="N1579" t="s">
        <v>1612</v>
      </c>
    </row>
  </sheetData>
  <autoFilter ref="A1:H1579" xr:uid="{00000000-0001-0000-0000-000000000000}">
    <sortState xmlns:xlrd2="http://schemas.microsoft.com/office/spreadsheetml/2017/richdata2" ref="A2:H1579">
      <sortCondition ref="B1:B1579"/>
    </sortState>
  </autoFilter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朱伸</dc:creator>
  <cp:lastModifiedBy>朱伸</cp:lastModifiedBy>
  <dcterms:created xsi:type="dcterms:W3CDTF">2015-06-05T18:19:34Z</dcterms:created>
  <dcterms:modified xsi:type="dcterms:W3CDTF">2025-03-19T11:59:26Z</dcterms:modified>
</cp:coreProperties>
</file>